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ngelesfranco/Library/Mobile Documents/com~apple~CloudDocs/suministros industriales/INVENTAARIO/"/>
    </mc:Choice>
  </mc:AlternateContent>
  <xr:revisionPtr revIDLastSave="0" documentId="13_ncr:1_{08048F2C-D8A0-1F4C-AE8C-FE285762D897}" xr6:coauthVersionLast="47" xr6:coauthVersionMax="47" xr10:uidLastSave="{00000000-0000-0000-0000-000000000000}"/>
  <bookViews>
    <workbookView xWindow="0" yWindow="740" windowWidth="18060" windowHeight="16820" tabRatio="663" activeTab="2" xr2:uid="{006E8768-4476-4701-A08E-9838270D207B}"/>
  </bookViews>
  <sheets>
    <sheet name=" INVENTARIOBODEGA" sheetId="1" r:id="rId1"/>
    <sheet name="ENTRADASBO" sheetId="2" r:id="rId2"/>
    <sheet name="SALIDASBO" sheetId="3" r:id="rId3"/>
    <sheet name="INVENTARIOOFICINA" sheetId="4" r:id="rId4"/>
    <sheet name="ENTRADASOF" sheetId="5" r:id="rId5"/>
    <sheet name="SALIDASOF" sheetId="6" r:id="rId6"/>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7" i="3" l="1"/>
  <c r="D67" i="3"/>
  <c r="E66" i="3"/>
  <c r="D66" i="3"/>
  <c r="E65" i="3"/>
  <c r="D65" i="3"/>
  <c r="E64" i="3"/>
  <c r="D64" i="3"/>
  <c r="E63" i="3"/>
  <c r="D63" i="3"/>
  <c r="E61" i="3"/>
  <c r="D61" i="3"/>
  <c r="E62" i="3"/>
  <c r="D62" i="3"/>
  <c r="E60" i="3"/>
  <c r="D60" i="3"/>
  <c r="E59" i="3"/>
  <c r="D59" i="3"/>
  <c r="E58" i="3"/>
  <c r="D58" i="3"/>
  <c r="E57" i="3"/>
  <c r="D57" i="3"/>
  <c r="E56" i="3"/>
  <c r="D56" i="3"/>
  <c r="E55" i="3"/>
  <c r="D55" i="3"/>
  <c r="E18" i="6"/>
  <c r="D18" i="6"/>
  <c r="E54" i="3"/>
  <c r="D54" i="3"/>
  <c r="E53" i="3"/>
  <c r="D53" i="3"/>
  <c r="E52" i="3"/>
  <c r="D52" i="3"/>
  <c r="E51" i="3"/>
  <c r="D51" i="3"/>
  <c r="E50" i="3"/>
  <c r="D50" i="3"/>
  <c r="E49" i="3"/>
  <c r="D49" i="3"/>
  <c r="E48" i="3"/>
  <c r="D48" i="3"/>
  <c r="E47" i="3"/>
  <c r="D47" i="3"/>
  <c r="E46" i="3"/>
  <c r="D46" i="3"/>
  <c r="E45" i="3"/>
  <c r="D45" i="3"/>
  <c r="E17" i="6"/>
  <c r="D17" i="6"/>
  <c r="E44" i="3"/>
  <c r="D44" i="3"/>
  <c r="E16" i="6"/>
  <c r="D16" i="6"/>
  <c r="E15" i="6"/>
  <c r="D15" i="6"/>
  <c r="E14" i="6"/>
  <c r="D14" i="6"/>
  <c r="E13" i="6"/>
  <c r="D13" i="6"/>
  <c r="E12" i="6"/>
  <c r="D12" i="6"/>
  <c r="E11" i="6"/>
  <c r="D11" i="6"/>
  <c r="E10" i="6"/>
  <c r="D10" i="6"/>
  <c r="E9" i="6"/>
  <c r="D9" i="6"/>
  <c r="E8" i="6"/>
  <c r="D8" i="6"/>
  <c r="E7" i="6"/>
  <c r="D7" i="6"/>
  <c r="E6" i="6"/>
  <c r="D6" i="6"/>
  <c r="E5" i="6"/>
  <c r="D5" i="6"/>
  <c r="E4" i="6"/>
  <c r="D4"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E43" i="3" l="1"/>
  <c r="D43" i="3"/>
  <c r="E42" i="3"/>
  <c r="D42" i="3"/>
  <c r="E41" i="3"/>
  <c r="D41" i="3"/>
  <c r="E40" i="3"/>
  <c r="D40" i="3"/>
  <c r="E39" i="3"/>
  <c r="D39" i="3"/>
  <c r="E38" i="3"/>
  <c r="D38" i="3"/>
  <c r="E37" i="3"/>
  <c r="D37" i="3"/>
  <c r="E36" i="3"/>
  <c r="D36" i="3"/>
  <c r="E35" i="3"/>
  <c r="D35" i="3"/>
  <c r="E34" i="3"/>
  <c r="D34" i="3"/>
  <c r="E33" i="3"/>
  <c r="D33" i="3"/>
  <c r="E32" i="3"/>
  <c r="D32" i="3"/>
  <c r="E31" i="3"/>
  <c r="D31" i="3"/>
  <c r="D176" i="5" l="1"/>
  <c r="E176" i="5"/>
  <c r="E188" i="2"/>
  <c r="D188" i="2"/>
  <c r="E159" i="5"/>
  <c r="E158"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9" i="5"/>
  <c r="D158" i="5"/>
  <c r="D160" i="5"/>
  <c r="D161" i="5"/>
  <c r="D162" i="5"/>
  <c r="D163" i="5"/>
  <c r="D164" i="5"/>
  <c r="D165" i="5"/>
  <c r="D166" i="5"/>
  <c r="D167" i="5"/>
  <c r="D168" i="5"/>
  <c r="D169" i="5"/>
  <c r="D175" i="5"/>
  <c r="D174" i="5"/>
  <c r="D173" i="5"/>
  <c r="D172" i="5"/>
  <c r="D171" i="5"/>
  <c r="D170" i="5"/>
  <c r="D177" i="5"/>
  <c r="D178" i="5"/>
  <c r="D179" i="5"/>
  <c r="D180" i="5"/>
  <c r="D181" i="5"/>
  <c r="D182" i="5"/>
  <c r="D183" i="5"/>
  <c r="D184" i="5"/>
  <c r="D185" i="5"/>
  <c r="D186" i="5"/>
  <c r="D187" i="5"/>
  <c r="D188" i="5"/>
  <c r="D189" i="5"/>
  <c r="D190" i="5"/>
  <c r="D191" i="5"/>
  <c r="D192" i="5"/>
  <c r="D193" i="5"/>
  <c r="D194" i="5"/>
  <c r="D195" i="5"/>
  <c r="D196" i="5"/>
  <c r="D197" i="5"/>
  <c r="D198" i="5"/>
  <c r="E160" i="5"/>
  <c r="E161" i="5"/>
  <c r="E162" i="5"/>
  <c r="E163" i="5"/>
  <c r="E164" i="5"/>
  <c r="E165" i="5"/>
  <c r="E166" i="5"/>
  <c r="E167" i="5"/>
  <c r="E168" i="5"/>
  <c r="E169" i="5"/>
  <c r="E170" i="5"/>
  <c r="E171" i="5"/>
  <c r="E172" i="5"/>
  <c r="E173" i="5"/>
  <c r="E174" i="5"/>
  <c r="E175" i="5"/>
  <c r="E177" i="5"/>
  <c r="E178" i="5"/>
  <c r="E179" i="5"/>
  <c r="E180" i="5"/>
  <c r="E181" i="5"/>
  <c r="E182" i="5"/>
  <c r="E183" i="5"/>
  <c r="E184" i="5"/>
  <c r="E185" i="5"/>
  <c r="E186" i="5"/>
  <c r="E187" i="5"/>
  <c r="E188" i="5"/>
  <c r="E189" i="5"/>
  <c r="E190" i="5"/>
  <c r="E191" i="5"/>
  <c r="E192" i="5"/>
  <c r="E193" i="5"/>
  <c r="E194" i="5"/>
  <c r="E195" i="5"/>
  <c r="E196" i="5"/>
  <c r="E197" i="5"/>
  <c r="E198" i="5"/>
  <c r="D156" i="2"/>
  <c r="D157" i="2"/>
  <c r="D155" i="2"/>
  <c r="E154" i="2"/>
  <c r="E153" i="2"/>
  <c r="E152" i="2"/>
  <c r="E151" i="2"/>
  <c r="E150" i="2"/>
  <c r="E149" i="2"/>
  <c r="E148" i="2"/>
  <c r="E147" i="2"/>
  <c r="E146" i="2"/>
  <c r="E145" i="2"/>
  <c r="E144" i="2"/>
  <c r="E143" i="2"/>
  <c r="E142" i="2"/>
  <c r="D154" i="2"/>
  <c r="D153" i="2"/>
  <c r="D152" i="2"/>
  <c r="D151" i="2"/>
  <c r="D150" i="2"/>
  <c r="D149" i="2"/>
  <c r="D148" i="2"/>
  <c r="D147" i="2"/>
  <c r="D146" i="2"/>
  <c r="D145" i="2"/>
  <c r="D144" i="2"/>
  <c r="D143" i="2"/>
  <c r="D142"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D141" i="2"/>
  <c r="D140" i="2"/>
  <c r="D139" i="2"/>
  <c r="D138" i="2"/>
  <c r="D137" i="2"/>
  <c r="D136" i="2"/>
  <c r="D135" i="2"/>
  <c r="D134"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67" i="5"/>
  <c r="E116" i="5"/>
  <c r="E19" i="5"/>
  <c r="E21" i="5"/>
  <c r="E132" i="5"/>
  <c r="E115" i="5"/>
  <c r="E154" i="5"/>
  <c r="E4" i="3"/>
  <c r="D4" i="3"/>
  <c r="E102" i="5"/>
  <c r="E5" i="5"/>
  <c r="E44" i="5"/>
  <c r="E91" i="5"/>
  <c r="E25" i="5"/>
  <c r="E20" i="5"/>
  <c r="E113" i="5"/>
  <c r="E114" i="5"/>
  <c r="E26" i="5"/>
  <c r="E28" i="5"/>
  <c r="E27" i="5"/>
  <c r="E13" i="5"/>
  <c r="E71" i="5"/>
  <c r="E61" i="5"/>
  <c r="E49" i="5"/>
  <c r="E93" i="5"/>
  <c r="E92" i="5"/>
  <c r="E86" i="5"/>
  <c r="E24" i="5"/>
  <c r="E23" i="5"/>
  <c r="E55" i="5"/>
  <c r="E139" i="5"/>
  <c r="E138" i="5"/>
  <c r="E134" i="5"/>
  <c r="E43" i="5"/>
  <c r="E37" i="5"/>
  <c r="E70" i="5"/>
  <c r="D176" i="4" l="1"/>
  <c r="D175" i="4"/>
  <c r="E151" i="5"/>
  <c r="E82" i="5"/>
  <c r="E79" i="5"/>
  <c r="E17" i="5"/>
  <c r="E85" i="5"/>
  <c r="E133" i="5"/>
  <c r="E108" i="5"/>
  <c r="D108" i="4" s="1"/>
  <c r="E95" i="5"/>
  <c r="E146" i="5"/>
  <c r="E87" i="5"/>
  <c r="E127" i="5"/>
  <c r="E140" i="5"/>
  <c r="E80" i="5"/>
  <c r="E16" i="5"/>
  <c r="E126" i="5"/>
  <c r="E73" i="5"/>
  <c r="E111" i="5"/>
  <c r="E35" i="5"/>
  <c r="E143" i="5"/>
  <c r="E30" i="5"/>
  <c r="E135" i="5"/>
  <c r="E90" i="5"/>
  <c r="E75" i="5"/>
  <c r="E150" i="5"/>
  <c r="E131" i="5"/>
  <c r="E15" i="5"/>
  <c r="E81" i="5"/>
  <c r="E100" i="5"/>
  <c r="E84" i="5"/>
  <c r="E96" i="5"/>
  <c r="D96" i="4" s="1"/>
  <c r="E8" i="5"/>
  <c r="E110" i="5"/>
  <c r="E6" i="5"/>
  <c r="E101" i="5"/>
  <c r="E56" i="5"/>
  <c r="E83" i="5"/>
  <c r="E89" i="5"/>
  <c r="E22" i="5"/>
  <c r="E65" i="5"/>
  <c r="E120" i="5"/>
  <c r="E69" i="5"/>
  <c r="E62" i="5"/>
  <c r="E10" i="5"/>
  <c r="E31" i="5"/>
  <c r="E51" i="5"/>
  <c r="E38" i="5"/>
  <c r="D38" i="4" s="1"/>
  <c r="E104" i="5"/>
  <c r="E47" i="5"/>
  <c r="E7" i="5"/>
  <c r="E88" i="5"/>
  <c r="E125" i="5"/>
  <c r="E39" i="5"/>
  <c r="E59" i="5"/>
  <c r="E105" i="5"/>
  <c r="E148" i="5"/>
  <c r="D148" i="4" s="1"/>
  <c r="E53" i="5"/>
  <c r="E152" i="5"/>
  <c r="D152" i="4" s="1"/>
  <c r="E12" i="5"/>
  <c r="E103" i="5"/>
  <c r="E156" i="5"/>
  <c r="E155" i="5"/>
  <c r="E46" i="5"/>
  <c r="E52" i="5"/>
  <c r="E45" i="5"/>
  <c r="E77" i="5"/>
  <c r="E41" i="5"/>
  <c r="E40" i="5"/>
  <c r="E29" i="5"/>
  <c r="E33" i="5"/>
  <c r="E137" i="5"/>
  <c r="E145" i="5"/>
  <c r="D145" i="4" s="1"/>
  <c r="E60" i="5"/>
  <c r="E123" i="5"/>
  <c r="E106" i="5"/>
  <c r="E63" i="5"/>
  <c r="E66" i="5"/>
  <c r="E68" i="5"/>
  <c r="E50" i="5"/>
  <c r="E136" i="5"/>
  <c r="D136" i="4" s="1"/>
  <c r="E157" i="5"/>
  <c r="E121" i="5"/>
  <c r="E18" i="5"/>
  <c r="E153" i="5"/>
  <c r="E149" i="5"/>
  <c r="E98" i="5"/>
  <c r="E57" i="5"/>
  <c r="E42" i="5"/>
  <c r="D42" i="4" s="1"/>
  <c r="E4" i="5"/>
  <c r="E34" i="5"/>
  <c r="E129" i="5"/>
  <c r="E54" i="5"/>
  <c r="E130" i="5"/>
  <c r="E124" i="5"/>
  <c r="E107" i="5"/>
  <c r="E94" i="5"/>
  <c r="D94" i="4" s="1"/>
  <c r="E122" i="5"/>
  <c r="E9" i="5"/>
  <c r="E14" i="5"/>
  <c r="E147" i="5"/>
  <c r="E76" i="5"/>
  <c r="E109" i="5"/>
  <c r="E64" i="5"/>
  <c r="E144" i="5"/>
  <c r="E128" i="5"/>
  <c r="E99" i="5"/>
  <c r="E58" i="5"/>
  <c r="E97" i="5"/>
  <c r="E11" i="5"/>
  <c r="E32" i="5"/>
  <c r="E74" i="5"/>
  <c r="E78" i="5"/>
  <c r="E117" i="5"/>
  <c r="E48" i="5"/>
  <c r="E141" i="5"/>
  <c r="E119" i="5"/>
  <c r="D119" i="4" s="1"/>
  <c r="E112" i="5"/>
  <c r="E72" i="5"/>
  <c r="D72" i="4" s="1"/>
  <c r="D170" i="4"/>
  <c r="E118" i="5"/>
  <c r="E36" i="5"/>
  <c r="E142" i="5"/>
  <c r="D192" i="4"/>
  <c r="D161" i="4"/>
  <c r="D174" i="4"/>
  <c r="D196" i="4"/>
  <c r="E155" i="2"/>
  <c r="D184" i="2"/>
  <c r="D174" i="2"/>
  <c r="D172" i="2"/>
  <c r="D164" i="2"/>
  <c r="D187" i="2"/>
  <c r="D179" i="2"/>
  <c r="D171" i="2"/>
  <c r="D163" i="2"/>
  <c r="D186" i="2"/>
  <c r="D178" i="2"/>
  <c r="D170" i="2"/>
  <c r="D162" i="2"/>
  <c r="D182" i="2"/>
  <c r="D180" i="2"/>
  <c r="D185" i="2"/>
  <c r="D177" i="2"/>
  <c r="D169" i="2"/>
  <c r="D161" i="2"/>
  <c r="D176" i="2"/>
  <c r="D168" i="2"/>
  <c r="D160" i="2"/>
  <c r="D183" i="2"/>
  <c r="D175" i="2"/>
  <c r="D167" i="2"/>
  <c r="D159" i="2"/>
  <c r="D166" i="2"/>
  <c r="D158" i="2"/>
  <c r="D181" i="2"/>
  <c r="D173" i="2"/>
  <c r="D165" i="2"/>
  <c r="D202" i="2"/>
  <c r="E276" i="2"/>
  <c r="D207" i="2"/>
  <c r="E292" i="2"/>
  <c r="E268" i="2"/>
  <c r="E260" i="2"/>
  <c r="E244" i="2"/>
  <c r="E236" i="2"/>
  <c r="E228" i="2"/>
  <c r="E220" i="2"/>
  <c r="E212" i="2"/>
  <c r="E204" i="2"/>
  <c r="D297" i="2"/>
  <c r="D289" i="2"/>
  <c r="D281" i="2"/>
  <c r="D273" i="2"/>
  <c r="D265" i="2"/>
  <c r="D257" i="2"/>
  <c r="D249" i="2"/>
  <c r="D241" i="2"/>
  <c r="D233" i="2"/>
  <c r="D225" i="2"/>
  <c r="D217" i="2"/>
  <c r="D209" i="2"/>
  <c r="E299" i="2"/>
  <c r="E291" i="2"/>
  <c r="E283" i="2"/>
  <c r="E275" i="2"/>
  <c r="E267" i="2"/>
  <c r="E259" i="2"/>
  <c r="E251" i="2"/>
  <c r="E243" i="2"/>
  <c r="E235" i="2"/>
  <c r="E227" i="2"/>
  <c r="E219" i="2"/>
  <c r="E211" i="2"/>
  <c r="E203" i="2"/>
  <c r="D296" i="2"/>
  <c r="D288" i="2"/>
  <c r="D280" i="2"/>
  <c r="D272" i="2"/>
  <c r="D264" i="2"/>
  <c r="D256" i="2"/>
  <c r="D248" i="2"/>
  <c r="D240" i="2"/>
  <c r="D232" i="2"/>
  <c r="D224" i="2"/>
  <c r="D216" i="2"/>
  <c r="D208" i="2"/>
  <c r="E290" i="2"/>
  <c r="E274" i="2"/>
  <c r="E250" i="2"/>
  <c r="E234" i="2"/>
  <c r="D287" i="2"/>
  <c r="E297" i="2"/>
  <c r="E289" i="2"/>
  <c r="E281" i="2"/>
  <c r="E273" i="2"/>
  <c r="E265" i="2"/>
  <c r="E257" i="2"/>
  <c r="E249" i="2"/>
  <c r="E241" i="2"/>
  <c r="E233" i="2"/>
  <c r="E225" i="2"/>
  <c r="E217" i="2"/>
  <c r="E209" i="2"/>
  <c r="D302" i="2"/>
  <c r="D294" i="2"/>
  <c r="D286" i="2"/>
  <c r="D278" i="2"/>
  <c r="D270" i="2"/>
  <c r="D262" i="2"/>
  <c r="D254" i="2"/>
  <c r="D246" i="2"/>
  <c r="D238" i="2"/>
  <c r="D230" i="2"/>
  <c r="D222" i="2"/>
  <c r="D214" i="2"/>
  <c r="D206" i="2"/>
  <c r="E300" i="2"/>
  <c r="E284" i="2"/>
  <c r="E252" i="2"/>
  <c r="E298" i="2"/>
  <c r="E282" i="2"/>
  <c r="E266" i="2"/>
  <c r="E258" i="2"/>
  <c r="E242" i="2"/>
  <c r="E226" i="2"/>
  <c r="E218" i="2"/>
  <c r="E210" i="2"/>
  <c r="E202" i="2"/>
  <c r="D295" i="2"/>
  <c r="D279" i="2"/>
  <c r="D271" i="2"/>
  <c r="D263" i="2"/>
  <c r="D255" i="2"/>
  <c r="D247" i="2"/>
  <c r="D239" i="2"/>
  <c r="D231" i="2"/>
  <c r="D223" i="2"/>
  <c r="D215" i="2"/>
  <c r="E296" i="2"/>
  <c r="E288" i="2"/>
  <c r="E280" i="2"/>
  <c r="E272" i="2"/>
  <c r="E264" i="2"/>
  <c r="E256" i="2"/>
  <c r="E248" i="2"/>
  <c r="E240" i="2"/>
  <c r="E232" i="2"/>
  <c r="E224" i="2"/>
  <c r="E216" i="2"/>
  <c r="E208" i="2"/>
  <c r="D301" i="2"/>
  <c r="D293" i="2"/>
  <c r="D285" i="2"/>
  <c r="D277" i="2"/>
  <c r="D269" i="2"/>
  <c r="D261" i="2"/>
  <c r="D253" i="2"/>
  <c r="D245" i="2"/>
  <c r="D237" i="2"/>
  <c r="D229" i="2"/>
  <c r="D221" i="2"/>
  <c r="D213" i="2"/>
  <c r="D205" i="2"/>
  <c r="E295" i="2"/>
  <c r="E287" i="2"/>
  <c r="E279" i="2"/>
  <c r="E271" i="2"/>
  <c r="E263" i="2"/>
  <c r="E255" i="2"/>
  <c r="E247" i="2"/>
  <c r="E239" i="2"/>
  <c r="E231" i="2"/>
  <c r="E223" i="2"/>
  <c r="E215" i="2"/>
  <c r="E207" i="2"/>
  <c r="D300" i="2"/>
  <c r="D292" i="2"/>
  <c r="D284" i="2"/>
  <c r="D276" i="2"/>
  <c r="D268" i="2"/>
  <c r="D260" i="2"/>
  <c r="D252" i="2"/>
  <c r="D244" i="2"/>
  <c r="D236" i="2"/>
  <c r="D228" i="2"/>
  <c r="D220" i="2"/>
  <c r="D212" i="2"/>
  <c r="D204" i="2"/>
  <c r="E302" i="2"/>
  <c r="E294" i="2"/>
  <c r="E286" i="2"/>
  <c r="E278" i="2"/>
  <c r="E270" i="2"/>
  <c r="E262" i="2"/>
  <c r="E254" i="2"/>
  <c r="E246" i="2"/>
  <c r="E238" i="2"/>
  <c r="E230" i="2"/>
  <c r="E222" i="2"/>
  <c r="E214" i="2"/>
  <c r="E206" i="2"/>
  <c r="D299" i="2"/>
  <c r="D291" i="2"/>
  <c r="D283" i="2"/>
  <c r="D275" i="2"/>
  <c r="D267" i="2"/>
  <c r="D259" i="2"/>
  <c r="D251" i="2"/>
  <c r="D243" i="2"/>
  <c r="D235" i="2"/>
  <c r="D227" i="2"/>
  <c r="D219" i="2"/>
  <c r="D211" i="2"/>
  <c r="D203" i="2"/>
  <c r="E301" i="2"/>
  <c r="E293" i="2"/>
  <c r="E285" i="2"/>
  <c r="E277" i="2"/>
  <c r="E269" i="2"/>
  <c r="E261" i="2"/>
  <c r="E253" i="2"/>
  <c r="E245" i="2"/>
  <c r="E237" i="2"/>
  <c r="E229" i="2"/>
  <c r="E221" i="2"/>
  <c r="E213" i="2"/>
  <c r="E205" i="2"/>
  <c r="D298" i="2"/>
  <c r="D290" i="2"/>
  <c r="D282" i="2"/>
  <c r="D274" i="2"/>
  <c r="D266" i="2"/>
  <c r="D258" i="2"/>
  <c r="D250" i="2"/>
  <c r="D242" i="2"/>
  <c r="D234" i="2"/>
  <c r="D226" i="2"/>
  <c r="D218" i="2"/>
  <c r="D210" i="2"/>
  <c r="E97" i="3"/>
  <c r="D190" i="3"/>
  <c r="D142" i="3"/>
  <c r="E195" i="3"/>
  <c r="D98" i="3"/>
  <c r="E203" i="3"/>
  <c r="E122" i="3"/>
  <c r="D144" i="3"/>
  <c r="D113" i="3"/>
  <c r="E130" i="3"/>
  <c r="E185" i="3"/>
  <c r="D83" i="3"/>
  <c r="D114" i="3"/>
  <c r="D162" i="3"/>
  <c r="E148" i="3"/>
  <c r="E152" i="3"/>
  <c r="D71" i="3"/>
  <c r="D126" i="3"/>
  <c r="D86" i="3"/>
  <c r="D186" i="3"/>
  <c r="E170" i="3"/>
  <c r="D208" i="3"/>
  <c r="D160" i="3"/>
  <c r="D84" i="3"/>
  <c r="D168" i="3"/>
  <c r="D129" i="3"/>
  <c r="E75" i="3"/>
  <c r="D96" i="3"/>
  <c r="D130" i="3"/>
  <c r="D187" i="3"/>
  <c r="E79" i="3"/>
  <c r="E177" i="3"/>
  <c r="D102" i="3"/>
  <c r="E104" i="3"/>
  <c r="D68" i="3"/>
  <c r="D112" i="3"/>
  <c r="D148" i="3"/>
  <c r="D116" i="3"/>
  <c r="D169" i="3"/>
  <c r="E106" i="3"/>
  <c r="E131" i="3"/>
  <c r="E158" i="3"/>
  <c r="E179" i="3"/>
  <c r="E204" i="3"/>
  <c r="D87" i="3"/>
  <c r="D131" i="3"/>
  <c r="D75" i="3"/>
  <c r="D120" i="3"/>
  <c r="D151" i="3"/>
  <c r="E86" i="3"/>
  <c r="D167" i="3"/>
  <c r="D74" i="3"/>
  <c r="D103" i="3"/>
  <c r="D150" i="3"/>
  <c r="D195" i="3"/>
  <c r="E84" i="3"/>
  <c r="D89" i="3"/>
  <c r="D104" i="3"/>
  <c r="D132" i="3"/>
  <c r="D171" i="3"/>
  <c r="D196" i="3"/>
  <c r="E112" i="3"/>
  <c r="E134" i="3"/>
  <c r="E159" i="3"/>
  <c r="E207" i="3"/>
  <c r="D76" i="3"/>
  <c r="D92" i="3"/>
  <c r="D105" i="3"/>
  <c r="D121" i="3"/>
  <c r="D135" i="3"/>
  <c r="D153" i="3"/>
  <c r="D177" i="3"/>
  <c r="D199" i="3"/>
  <c r="E88" i="3"/>
  <c r="E113" i="3"/>
  <c r="E139" i="3"/>
  <c r="E161" i="3"/>
  <c r="E186" i="3"/>
  <c r="E212" i="3"/>
  <c r="D78" i="3"/>
  <c r="D94" i="3"/>
  <c r="D107" i="3"/>
  <c r="D122" i="3"/>
  <c r="D139" i="3"/>
  <c r="D158" i="3"/>
  <c r="D178" i="3"/>
  <c r="D204" i="3"/>
  <c r="E94" i="3"/>
  <c r="E115" i="3"/>
  <c r="E140" i="3"/>
  <c r="E167" i="3"/>
  <c r="E188" i="3"/>
  <c r="D195" i="2"/>
  <c r="D80" i="3"/>
  <c r="D95" i="3"/>
  <c r="D111" i="3"/>
  <c r="D123" i="3"/>
  <c r="D140" i="3"/>
  <c r="D159" i="3"/>
  <c r="D180" i="3"/>
  <c r="D206" i="3"/>
  <c r="E70" i="3"/>
  <c r="E95" i="3"/>
  <c r="E121" i="3"/>
  <c r="E143" i="3"/>
  <c r="E168" i="3"/>
  <c r="E194" i="3"/>
  <c r="D138" i="3"/>
  <c r="E76" i="3"/>
  <c r="E103" i="3"/>
  <c r="E124" i="3"/>
  <c r="E150" i="3"/>
  <c r="E176" i="3"/>
  <c r="E198" i="3"/>
  <c r="D72" i="3"/>
  <c r="D81" i="3"/>
  <c r="D90" i="3"/>
  <c r="D99" i="3"/>
  <c r="D108" i="3"/>
  <c r="D118" i="3"/>
  <c r="D127" i="3"/>
  <c r="D136" i="3"/>
  <c r="D145" i="3"/>
  <c r="D154" i="3"/>
  <c r="D163" i="3"/>
  <c r="D172" i="3"/>
  <c r="D182" i="3"/>
  <c r="D191" i="3"/>
  <c r="D200" i="3"/>
  <c r="D209" i="3"/>
  <c r="E71" i="3"/>
  <c r="E80" i="3"/>
  <c r="E89" i="3"/>
  <c r="E98" i="3"/>
  <c r="E107" i="3"/>
  <c r="E116" i="3"/>
  <c r="E126" i="3"/>
  <c r="E135" i="3"/>
  <c r="E144" i="3"/>
  <c r="E153" i="3"/>
  <c r="E162" i="3"/>
  <c r="E171" i="3"/>
  <c r="E180" i="3"/>
  <c r="E190" i="3"/>
  <c r="E199" i="3"/>
  <c r="E208" i="3"/>
  <c r="D73" i="3"/>
  <c r="D82" i="3"/>
  <c r="D91" i="3"/>
  <c r="D100" i="3"/>
  <c r="D110" i="3"/>
  <c r="D119" i="3"/>
  <c r="D128" i="3"/>
  <c r="D137" i="3"/>
  <c r="D146" i="3"/>
  <c r="D155" i="3"/>
  <c r="D164" i="3"/>
  <c r="D174" i="3"/>
  <c r="D183" i="3"/>
  <c r="D192" i="3"/>
  <c r="D201" i="3"/>
  <c r="D210" i="3"/>
  <c r="E72" i="3"/>
  <c r="E81" i="3"/>
  <c r="E90" i="3"/>
  <c r="E99" i="3"/>
  <c r="E108" i="3"/>
  <c r="E118" i="3"/>
  <c r="E127" i="3"/>
  <c r="E136" i="3"/>
  <c r="E145" i="3"/>
  <c r="E154" i="3"/>
  <c r="E163" i="3"/>
  <c r="E172" i="3"/>
  <c r="E182" i="3"/>
  <c r="E191" i="3"/>
  <c r="E200" i="3"/>
  <c r="E209" i="3"/>
  <c r="D147" i="3"/>
  <c r="D156" i="3"/>
  <c r="D166" i="3"/>
  <c r="D175" i="3"/>
  <c r="D184" i="3"/>
  <c r="D193" i="3"/>
  <c r="D202" i="3"/>
  <c r="D211" i="3"/>
  <c r="E73" i="3"/>
  <c r="E82" i="3"/>
  <c r="E91" i="3"/>
  <c r="E100" i="3"/>
  <c r="E110" i="3"/>
  <c r="E119" i="3"/>
  <c r="E128" i="3"/>
  <c r="E137" i="3"/>
  <c r="E146" i="3"/>
  <c r="E155" i="3"/>
  <c r="E164" i="3"/>
  <c r="E174" i="3"/>
  <c r="E183" i="3"/>
  <c r="E192" i="3"/>
  <c r="E201" i="3"/>
  <c r="E210" i="3"/>
  <c r="D176" i="3"/>
  <c r="D185" i="3"/>
  <c r="D194" i="3"/>
  <c r="D203" i="3"/>
  <c r="D212" i="3"/>
  <c r="E74" i="3"/>
  <c r="E83" i="3"/>
  <c r="E92" i="3"/>
  <c r="E102" i="3"/>
  <c r="E111" i="3"/>
  <c r="E120" i="3"/>
  <c r="E129" i="3"/>
  <c r="E138" i="3"/>
  <c r="E147" i="3"/>
  <c r="E156" i="3"/>
  <c r="E166" i="3"/>
  <c r="E175" i="3"/>
  <c r="E184" i="3"/>
  <c r="E193" i="3"/>
  <c r="E202" i="3"/>
  <c r="E211" i="3"/>
  <c r="E195" i="2"/>
  <c r="D70" i="3"/>
  <c r="D79" i="3"/>
  <c r="D88" i="3"/>
  <c r="D97" i="3"/>
  <c r="D106" i="3"/>
  <c r="D115" i="3"/>
  <c r="D124" i="3"/>
  <c r="D134" i="3"/>
  <c r="D143" i="3"/>
  <c r="D152" i="3"/>
  <c r="D161" i="3"/>
  <c r="D170" i="3"/>
  <c r="D179" i="3"/>
  <c r="D188" i="3"/>
  <c r="D198" i="3"/>
  <c r="D207" i="3"/>
  <c r="E68" i="3"/>
  <c r="E78" i="3"/>
  <c r="E87" i="3"/>
  <c r="E96" i="3"/>
  <c r="E105" i="3"/>
  <c r="E114" i="3"/>
  <c r="E123" i="3"/>
  <c r="E132" i="3"/>
  <c r="E142" i="3"/>
  <c r="E151" i="3"/>
  <c r="E160" i="3"/>
  <c r="E169" i="3"/>
  <c r="E178" i="3"/>
  <c r="E187" i="3"/>
  <c r="E196" i="3"/>
  <c r="E206" i="3"/>
  <c r="D197" i="2"/>
  <c r="D189" i="2"/>
  <c r="E197" i="2"/>
  <c r="E189" i="2"/>
  <c r="D196" i="2"/>
  <c r="E196" i="2"/>
  <c r="D69" i="3"/>
  <c r="D77" i="3"/>
  <c r="D85" i="3"/>
  <c r="D93" i="3"/>
  <c r="D101" i="3"/>
  <c r="D109" i="3"/>
  <c r="D117" i="3"/>
  <c r="D125" i="3"/>
  <c r="D133" i="3"/>
  <c r="D141" i="3"/>
  <c r="D149" i="3"/>
  <c r="D157" i="3"/>
  <c r="D165" i="3"/>
  <c r="D173" i="3"/>
  <c r="D181" i="3"/>
  <c r="D189" i="3"/>
  <c r="D197" i="3"/>
  <c r="D205" i="3"/>
  <c r="D213" i="3"/>
  <c r="E69" i="3"/>
  <c r="E77" i="3"/>
  <c r="E85" i="3"/>
  <c r="E93" i="3"/>
  <c r="E101" i="3"/>
  <c r="E109" i="3"/>
  <c r="E117" i="3"/>
  <c r="E125" i="3"/>
  <c r="E133" i="3"/>
  <c r="E141" i="3"/>
  <c r="E149" i="3"/>
  <c r="E157" i="3"/>
  <c r="E165" i="3"/>
  <c r="E173" i="3"/>
  <c r="E181" i="3"/>
  <c r="E189" i="3"/>
  <c r="E197" i="3"/>
  <c r="E205" i="3"/>
  <c r="E213" i="3"/>
  <c r="D194" i="2"/>
  <c r="E194" i="2"/>
  <c r="D201" i="2"/>
  <c r="D193" i="2"/>
  <c r="E201" i="2"/>
  <c r="E193" i="2"/>
  <c r="D200" i="2"/>
  <c r="D192" i="2"/>
  <c r="E200" i="2"/>
  <c r="E192" i="2"/>
  <c r="D199" i="2"/>
  <c r="D191" i="2"/>
  <c r="E199" i="2"/>
  <c r="E191" i="2"/>
  <c r="D198" i="2"/>
  <c r="D190" i="2"/>
  <c r="E198" i="2"/>
  <c r="E190" i="2"/>
  <c r="D73" i="4"/>
  <c r="D66" i="4"/>
  <c r="D48" i="4"/>
  <c r="D93" i="4"/>
  <c r="D28" i="4"/>
  <c r="D138" i="4"/>
  <c r="D49" i="4"/>
  <c r="D56" i="4"/>
  <c r="D86" i="4"/>
  <c r="D90" i="4"/>
  <c r="D30" i="4"/>
  <c r="D87" i="4"/>
  <c r="D58" i="4"/>
  <c r="D128" i="4"/>
  <c r="D34" i="4"/>
  <c r="D121" i="4"/>
  <c r="D45" i="4"/>
  <c r="D46" i="4"/>
  <c r="D92" i="4"/>
  <c r="D27" i="4"/>
  <c r="E77" i="4" l="1"/>
  <c r="E108" i="4"/>
  <c r="D10" i="1"/>
  <c r="E10" i="1"/>
  <c r="E80" i="4"/>
  <c r="E151" i="4"/>
  <c r="E166" i="4"/>
  <c r="E177" i="4"/>
  <c r="E144" i="4"/>
  <c r="E13" i="4"/>
  <c r="E30" i="4"/>
  <c r="E34" i="4"/>
  <c r="F34" i="4" s="1"/>
  <c r="H34" i="4" s="1"/>
  <c r="E70" i="4"/>
  <c r="E90" i="4"/>
  <c r="E125" i="4"/>
  <c r="E11" i="4"/>
  <c r="E81" i="4"/>
  <c r="E85" i="4"/>
  <c r="E50" i="4"/>
  <c r="E7" i="4"/>
  <c r="E122" i="4"/>
  <c r="E35" i="4"/>
  <c r="E86" i="4"/>
  <c r="F86" i="4" s="1"/>
  <c r="H86" i="4" s="1"/>
  <c r="E43" i="4"/>
  <c r="E110" i="4"/>
  <c r="E72" i="4"/>
  <c r="F30" i="4"/>
  <c r="H30" i="4" s="1"/>
  <c r="E56" i="4"/>
  <c r="E103" i="4"/>
  <c r="E180" i="4"/>
  <c r="E96" i="4"/>
  <c r="E99" i="4"/>
  <c r="E24" i="4"/>
  <c r="E40" i="4"/>
  <c r="E126" i="4"/>
  <c r="E146" i="4"/>
  <c r="E62" i="4"/>
  <c r="E184" i="4"/>
  <c r="E179" i="4"/>
  <c r="E160" i="4"/>
  <c r="E87" i="4"/>
  <c r="F87" i="4" s="1"/>
  <c r="H87" i="4" s="1"/>
  <c r="E114" i="4"/>
  <c r="E121" i="4"/>
  <c r="F121" i="4" s="1"/>
  <c r="H121" i="4" s="1"/>
  <c r="E145" i="4"/>
  <c r="E71" i="4"/>
  <c r="E153" i="4"/>
  <c r="E73" i="4"/>
  <c r="D124" i="4"/>
  <c r="D50" i="4"/>
  <c r="F50" i="4" s="1"/>
  <c r="H50" i="4" s="1"/>
  <c r="E130" i="4"/>
  <c r="E48" i="4"/>
  <c r="E79" i="4"/>
  <c r="E183" i="4"/>
  <c r="E163" i="4"/>
  <c r="E165" i="4"/>
  <c r="D183" i="4"/>
  <c r="F183" i="4" s="1"/>
  <c r="H183" i="4" s="1"/>
  <c r="D164" i="4"/>
  <c r="D106" i="4"/>
  <c r="E119" i="4"/>
  <c r="D120" i="4"/>
  <c r="D36" i="4"/>
  <c r="E69" i="4"/>
  <c r="E169" i="4"/>
  <c r="D195" i="4"/>
  <c r="D180" i="4"/>
  <c r="F180" i="4" s="1"/>
  <c r="H180" i="4" s="1"/>
  <c r="E187" i="4"/>
  <c r="D158" i="4"/>
  <c r="D52" i="4"/>
  <c r="D157" i="4"/>
  <c r="D4" i="4"/>
  <c r="D99" i="4"/>
  <c r="D129" i="4"/>
  <c r="F129" i="4" s="1"/>
  <c r="H129" i="4" s="1"/>
  <c r="D135" i="4"/>
  <c r="D139" i="4"/>
  <c r="D24" i="4"/>
  <c r="D71" i="4"/>
  <c r="F71" i="4" s="1"/>
  <c r="H71" i="4" s="1"/>
  <c r="E128" i="4"/>
  <c r="E129" i="4"/>
  <c r="E135" i="4"/>
  <c r="E139" i="4"/>
  <c r="F139" i="4" s="1"/>
  <c r="H139" i="4" s="1"/>
  <c r="E49" i="4"/>
  <c r="F49" i="4" s="1"/>
  <c r="H49" i="4" s="1"/>
  <c r="E28" i="4"/>
  <c r="E88" i="4"/>
  <c r="D102" i="4"/>
  <c r="E41" i="4"/>
  <c r="E18" i="4"/>
  <c r="E147" i="4"/>
  <c r="D112" i="4"/>
  <c r="E16" i="4"/>
  <c r="D141" i="4"/>
  <c r="E9" i="4"/>
  <c r="D53" i="4"/>
  <c r="E95" i="4"/>
  <c r="D63" i="4"/>
  <c r="E111" i="4"/>
  <c r="D107" i="4"/>
  <c r="E8" i="4"/>
  <c r="D133" i="4"/>
  <c r="E21" i="4"/>
  <c r="D14" i="4"/>
  <c r="E37" i="4"/>
  <c r="E117" i="4"/>
  <c r="D118" i="4"/>
  <c r="E17" i="4"/>
  <c r="E191" i="4"/>
  <c r="E176" i="4"/>
  <c r="E170" i="4"/>
  <c r="D188" i="4"/>
  <c r="D166" i="4"/>
  <c r="F166" i="4" s="1"/>
  <c r="H166" i="4" s="1"/>
  <c r="E195" i="4"/>
  <c r="E173" i="4"/>
  <c r="D191" i="4"/>
  <c r="D184" i="4"/>
  <c r="F184" i="4" s="1"/>
  <c r="H184" i="4" s="1"/>
  <c r="D47" i="4"/>
  <c r="D55" i="4"/>
  <c r="D77" i="4"/>
  <c r="F77" i="4" s="1"/>
  <c r="H77" i="4" s="1"/>
  <c r="D18" i="4"/>
  <c r="D147" i="4"/>
  <c r="D97" i="4"/>
  <c r="D127" i="4"/>
  <c r="F127" i="4" s="1"/>
  <c r="H127" i="4" s="1"/>
  <c r="D75" i="4"/>
  <c r="D89" i="4"/>
  <c r="D5" i="4"/>
  <c r="D23" i="4"/>
  <c r="E58" i="4"/>
  <c r="E127" i="4"/>
  <c r="E75" i="4"/>
  <c r="E83" i="4"/>
  <c r="E138" i="4"/>
  <c r="F138" i="4" s="1"/>
  <c r="H138" i="4" s="1"/>
  <c r="E93" i="4"/>
  <c r="E39" i="4"/>
  <c r="E156" i="4"/>
  <c r="E29" i="4"/>
  <c r="E149" i="4"/>
  <c r="D21" i="4"/>
  <c r="E123" i="4"/>
  <c r="D37" i="4"/>
  <c r="D117" i="4"/>
  <c r="E100" i="4"/>
  <c r="D79" i="4"/>
  <c r="E67" i="4"/>
  <c r="D68" i="4"/>
  <c r="E143" i="4"/>
  <c r="D122" i="4"/>
  <c r="F122" i="4" s="1"/>
  <c r="H122" i="4" s="1"/>
  <c r="E6" i="4"/>
  <c r="F6" i="4" s="1"/>
  <c r="H6" i="4" s="1"/>
  <c r="D95" i="4"/>
  <c r="E132" i="4"/>
  <c r="D111" i="4"/>
  <c r="E10" i="4"/>
  <c r="D8" i="4"/>
  <c r="E59" i="4"/>
  <c r="E104" i="4"/>
  <c r="E159" i="4"/>
  <c r="E192" i="4"/>
  <c r="E185" i="4"/>
  <c r="E171" i="4"/>
  <c r="D181" i="4"/>
  <c r="E164" i="4"/>
  <c r="E188" i="4"/>
  <c r="E174" i="4"/>
  <c r="F174" i="4" s="1"/>
  <c r="H174" i="4" s="1"/>
  <c r="E182" i="4"/>
  <c r="D7" i="4"/>
  <c r="D76" i="4"/>
  <c r="D11" i="4"/>
  <c r="D54" i="4"/>
  <c r="D150" i="4"/>
  <c r="D25" i="4"/>
  <c r="D44" i="4"/>
  <c r="D134" i="4"/>
  <c r="E97" i="4"/>
  <c r="E54" i="4"/>
  <c r="E150" i="4"/>
  <c r="E89" i="4"/>
  <c r="E5" i="4"/>
  <c r="E23" i="4"/>
  <c r="E27" i="4"/>
  <c r="F27" i="4" s="1"/>
  <c r="H27" i="4" s="1"/>
  <c r="E155" i="4"/>
  <c r="E33" i="4"/>
  <c r="E98" i="4"/>
  <c r="D151" i="4"/>
  <c r="F151" i="4" s="1"/>
  <c r="H151" i="4" s="1"/>
  <c r="E106" i="4"/>
  <c r="D62" i="4"/>
  <c r="E12" i="4"/>
  <c r="E84" i="4"/>
  <c r="D17" i="4"/>
  <c r="E82" i="4"/>
  <c r="D80" i="4"/>
  <c r="F80" i="4" s="1"/>
  <c r="H80" i="4" s="1"/>
  <c r="E22" i="4"/>
  <c r="D9" i="4"/>
  <c r="E101" i="4"/>
  <c r="D146" i="4"/>
  <c r="E115" i="4"/>
  <c r="D35" i="4"/>
  <c r="F35" i="4" s="1"/>
  <c r="H35" i="4" s="1"/>
  <c r="E31" i="4"/>
  <c r="D110" i="4"/>
  <c r="E105" i="4"/>
  <c r="D130" i="4"/>
  <c r="D177" i="4"/>
  <c r="D171" i="4"/>
  <c r="E161" i="4"/>
  <c r="F161" i="4" s="1"/>
  <c r="H161" i="4" s="1"/>
  <c r="E193" i="4"/>
  <c r="E178" i="4"/>
  <c r="D189" i="4"/>
  <c r="D167" i="4"/>
  <c r="E196" i="4"/>
  <c r="E181" i="4"/>
  <c r="E190" i="4"/>
  <c r="E167" i="4"/>
  <c r="D153" i="4"/>
  <c r="F153" i="4" s="1"/>
  <c r="H153" i="4" s="1"/>
  <c r="D103" i="4"/>
  <c r="D32" i="4"/>
  <c r="D60" i="4"/>
  <c r="D131" i="4"/>
  <c r="D113" i="4"/>
  <c r="D91" i="4"/>
  <c r="E76" i="4"/>
  <c r="E32" i="4"/>
  <c r="E60" i="4"/>
  <c r="E131" i="4"/>
  <c r="E25" i="4"/>
  <c r="F25" i="4" s="1"/>
  <c r="H25" i="4" s="1"/>
  <c r="E44" i="4"/>
  <c r="E134" i="4"/>
  <c r="E158" i="4"/>
  <c r="E46" i="4"/>
  <c r="F46" i="4" s="1"/>
  <c r="H46" i="4" s="1"/>
  <c r="D83" i="4"/>
  <c r="E57" i="4"/>
  <c r="D132" i="4"/>
  <c r="F132" i="4" s="1"/>
  <c r="H132" i="4" s="1"/>
  <c r="E63" i="4"/>
  <c r="F63" i="4" s="1"/>
  <c r="H63" i="4" s="1"/>
  <c r="D10" i="4"/>
  <c r="F10" i="4" s="1"/>
  <c r="H10" i="4" s="1"/>
  <c r="E124" i="4"/>
  <c r="D70" i="4"/>
  <c r="F70" i="4" s="1"/>
  <c r="H70" i="4" s="1"/>
  <c r="D85" i="4"/>
  <c r="F85" i="4" s="1"/>
  <c r="H85" i="4" s="1"/>
  <c r="E116" i="4"/>
  <c r="D16" i="4"/>
  <c r="E65" i="4"/>
  <c r="D81" i="4"/>
  <c r="E142" i="4"/>
  <c r="D67" i="4"/>
  <c r="F67" i="4" s="1"/>
  <c r="H67" i="4" s="1"/>
  <c r="E154" i="4"/>
  <c r="D143" i="4"/>
  <c r="E51" i="4"/>
  <c r="D6" i="4"/>
  <c r="E148" i="4"/>
  <c r="F148" i="4" s="1"/>
  <c r="H148" i="4" s="1"/>
  <c r="D69" i="4"/>
  <c r="F69" i="4" s="1"/>
  <c r="H69" i="4" s="1"/>
  <c r="D185" i="4"/>
  <c r="D178" i="4"/>
  <c r="D172" i="4"/>
  <c r="E162" i="4"/>
  <c r="F162" i="4" s="1"/>
  <c r="H162" i="4" s="1"/>
  <c r="E186" i="4"/>
  <c r="D197" i="4"/>
  <c r="D162" i="4"/>
  <c r="E189" i="4"/>
  <c r="E175" i="4"/>
  <c r="D41" i="4"/>
  <c r="F41" i="4" s="1"/>
  <c r="H41" i="4" s="1"/>
  <c r="D40" i="4"/>
  <c r="F40" i="4" s="1"/>
  <c r="H40" i="4" s="1"/>
  <c r="D125" i="4"/>
  <c r="F125" i="4" s="1"/>
  <c r="H125" i="4" s="1"/>
  <c r="D98" i="4"/>
  <c r="D137" i="4"/>
  <c r="D26" i="4"/>
  <c r="E109" i="4"/>
  <c r="E15" i="4"/>
  <c r="E91" i="4"/>
  <c r="E92" i="4"/>
  <c r="F92" i="4" s="1"/>
  <c r="H92" i="4" s="1"/>
  <c r="E42" i="4"/>
  <c r="F42" i="4" s="1"/>
  <c r="H42" i="4" s="1"/>
  <c r="D115" i="4"/>
  <c r="D31" i="4"/>
  <c r="D59" i="4"/>
  <c r="D104" i="4"/>
  <c r="E120" i="4"/>
  <c r="D100" i="4"/>
  <c r="E36" i="4"/>
  <c r="F36" i="4" s="1"/>
  <c r="H36" i="4" s="1"/>
  <c r="D82" i="4"/>
  <c r="F82" i="4" s="1"/>
  <c r="H82" i="4" s="1"/>
  <c r="D22" i="4"/>
  <c r="E38" i="4"/>
  <c r="F38" i="4" s="1"/>
  <c r="H38" i="4" s="1"/>
  <c r="D101" i="4"/>
  <c r="E53" i="4"/>
  <c r="E19" i="4"/>
  <c r="D193" i="4"/>
  <c r="D186" i="4"/>
  <c r="D179" i="4"/>
  <c r="D165" i="4"/>
  <c r="F165" i="4" s="1"/>
  <c r="H165" i="4" s="1"/>
  <c r="E194" i="4"/>
  <c r="E172" i="4"/>
  <c r="D182" i="4"/>
  <c r="D168" i="4"/>
  <c r="E197" i="4"/>
  <c r="F196" i="4"/>
  <c r="H196" i="4" s="1"/>
  <c r="D43" i="4"/>
  <c r="F43" i="4" s="1"/>
  <c r="H43" i="4" s="1"/>
  <c r="D88" i="4"/>
  <c r="F88" i="4" s="1"/>
  <c r="H88" i="4" s="1"/>
  <c r="D149" i="4"/>
  <c r="D109" i="4"/>
  <c r="D156" i="4"/>
  <c r="D29" i="4"/>
  <c r="F29" i="4" s="1"/>
  <c r="H29" i="4" s="1"/>
  <c r="D64" i="4"/>
  <c r="D78" i="4"/>
  <c r="D15" i="4"/>
  <c r="D20" i="4"/>
  <c r="E137" i="4"/>
  <c r="E78" i="4"/>
  <c r="E113" i="4"/>
  <c r="E102" i="4"/>
  <c r="F102" i="4" s="1"/>
  <c r="H102" i="4" s="1"/>
  <c r="E52" i="4"/>
  <c r="F52" i="4" s="1"/>
  <c r="H52" i="4" s="1"/>
  <c r="E136" i="4"/>
  <c r="F136" i="4" s="1"/>
  <c r="H136" i="4" s="1"/>
  <c r="E66" i="4"/>
  <c r="F66" i="4" s="1"/>
  <c r="H66" i="4" s="1"/>
  <c r="E107" i="4"/>
  <c r="D126" i="4"/>
  <c r="D39" i="4"/>
  <c r="D155" i="4"/>
  <c r="D33" i="4"/>
  <c r="F33" i="4" s="1"/>
  <c r="H33" i="4" s="1"/>
  <c r="D57" i="4"/>
  <c r="F57" i="4" s="1"/>
  <c r="H57" i="4" s="1"/>
  <c r="D144" i="4"/>
  <c r="D74" i="4"/>
  <c r="D140" i="4"/>
  <c r="D61" i="4"/>
  <c r="D13" i="4"/>
  <c r="F13" i="4" s="1"/>
  <c r="H13" i="4" s="1"/>
  <c r="D114" i="4"/>
  <c r="E64" i="4"/>
  <c r="E74" i="4"/>
  <c r="E140" i="4"/>
  <c r="E61" i="4"/>
  <c r="E26" i="4"/>
  <c r="F26" i="4" s="1"/>
  <c r="H26" i="4" s="1"/>
  <c r="E20" i="4"/>
  <c r="E47" i="4"/>
  <c r="E55" i="4"/>
  <c r="E45" i="4"/>
  <c r="F45" i="4" s="1"/>
  <c r="H45" i="4" s="1"/>
  <c r="E157" i="4"/>
  <c r="E4" i="4"/>
  <c r="D154" i="4"/>
  <c r="E68" i="4"/>
  <c r="F68" i="4" s="1"/>
  <c r="H68" i="4" s="1"/>
  <c r="D51" i="4"/>
  <c r="E94" i="4"/>
  <c r="F94" i="4" s="1"/>
  <c r="H94" i="4" s="1"/>
  <c r="D105" i="4"/>
  <c r="F105" i="4" s="1"/>
  <c r="H105" i="4" s="1"/>
  <c r="E133" i="4"/>
  <c r="F133" i="4" s="1"/>
  <c r="H133" i="4" s="1"/>
  <c r="D123" i="4"/>
  <c r="E14" i="4"/>
  <c r="D12" i="4"/>
  <c r="F12" i="4" s="1"/>
  <c r="H12" i="4" s="1"/>
  <c r="D84" i="4"/>
  <c r="E118" i="4"/>
  <c r="D116" i="4"/>
  <c r="E112" i="4"/>
  <c r="D65" i="4"/>
  <c r="E141" i="4"/>
  <c r="D142" i="4"/>
  <c r="F142" i="4" s="1"/>
  <c r="H142" i="4" s="1"/>
  <c r="E152" i="4"/>
  <c r="F152" i="4" s="1"/>
  <c r="H152" i="4" s="1"/>
  <c r="D19" i="4"/>
  <c r="D194" i="4"/>
  <c r="D187" i="4"/>
  <c r="F187" i="4" s="1"/>
  <c r="H187" i="4" s="1"/>
  <c r="D173" i="4"/>
  <c r="D160" i="4"/>
  <c r="D190" i="4"/>
  <c r="D163" i="4"/>
  <c r="F163" i="4" s="1"/>
  <c r="H163" i="4" s="1"/>
  <c r="F170" i="4"/>
  <c r="H170" i="4" s="1"/>
  <c r="D159" i="4"/>
  <c r="F159" i="4" s="1"/>
  <c r="H159" i="4" s="1"/>
  <c r="E168" i="4"/>
  <c r="D169" i="4"/>
  <c r="F169" i="4" s="1"/>
  <c r="H169" i="4" s="1"/>
  <c r="F192" i="4"/>
  <c r="H192" i="4" s="1"/>
  <c r="F176" i="4"/>
  <c r="H176" i="4" s="1"/>
  <c r="F119" i="4"/>
  <c r="H119" i="4" s="1"/>
  <c r="F48" i="4"/>
  <c r="H48" i="4" s="1"/>
  <c r="E88" i="1"/>
  <c r="E28" i="1"/>
  <c r="E7" i="1"/>
  <c r="E94" i="1"/>
  <c r="E187" i="1"/>
  <c r="E97" i="1"/>
  <c r="E15" i="1"/>
  <c r="E36" i="1"/>
  <c r="E78" i="1"/>
  <c r="E46" i="1"/>
  <c r="E22" i="1"/>
  <c r="E175" i="1"/>
  <c r="E79" i="1"/>
  <c r="E33" i="1"/>
  <c r="E159" i="1"/>
  <c r="E24" i="1"/>
  <c r="E116" i="1"/>
  <c r="E129" i="1"/>
  <c r="E95" i="1"/>
  <c r="E5" i="1"/>
  <c r="E108" i="1"/>
  <c r="E147" i="1"/>
  <c r="E39" i="1"/>
  <c r="E104" i="1"/>
  <c r="E115" i="1"/>
  <c r="E21" i="1"/>
  <c r="E29" i="1"/>
  <c r="E171" i="1"/>
  <c r="E86" i="1"/>
  <c r="E136" i="1"/>
  <c r="E113" i="1"/>
  <c r="E92" i="1"/>
  <c r="E25" i="1"/>
  <c r="E76" i="1"/>
  <c r="E185" i="1"/>
  <c r="E181" i="1"/>
  <c r="E144" i="1"/>
  <c r="E143" i="1"/>
  <c r="E49" i="1"/>
  <c r="E71" i="1"/>
  <c r="E134" i="1"/>
  <c r="E126" i="1"/>
  <c r="E121" i="1"/>
  <c r="E106" i="1"/>
  <c r="E43" i="1"/>
  <c r="E155" i="1"/>
  <c r="E6" i="1"/>
  <c r="E111" i="1"/>
  <c r="E27" i="1"/>
  <c r="E164" i="1"/>
  <c r="E138" i="1"/>
  <c r="E141" i="1"/>
  <c r="E72" i="1"/>
  <c r="E74" i="1"/>
  <c r="E44" i="1"/>
  <c r="E42" i="1"/>
  <c r="E38" i="1"/>
  <c r="E9" i="1"/>
  <c r="E63" i="1"/>
  <c r="E118" i="1"/>
  <c r="E112" i="1"/>
  <c r="E123" i="1"/>
  <c r="E56" i="1"/>
  <c r="E12" i="1"/>
  <c r="E186" i="1"/>
  <c r="E131" i="1"/>
  <c r="E139" i="1"/>
  <c r="E137" i="1"/>
  <c r="E75" i="1"/>
  <c r="E82" i="1"/>
  <c r="E188" i="1"/>
  <c r="E172" i="1"/>
  <c r="E145" i="1"/>
  <c r="E133" i="1"/>
  <c r="E102" i="1"/>
  <c r="E154" i="1"/>
  <c r="E117" i="1"/>
  <c r="E90" i="1"/>
  <c r="E84" i="1"/>
  <c r="E11" i="1"/>
  <c r="E34" i="1"/>
  <c r="E87" i="1"/>
  <c r="E96" i="1"/>
  <c r="E64" i="1"/>
  <c r="E140" i="1"/>
  <c r="E83" i="1"/>
  <c r="E80" i="1"/>
  <c r="E132" i="1"/>
  <c r="E125" i="1"/>
  <c r="E114" i="1"/>
  <c r="E105" i="1"/>
  <c r="E68" i="1"/>
  <c r="E14" i="1"/>
  <c r="E130" i="1"/>
  <c r="E166" i="1"/>
  <c r="E128" i="1"/>
  <c r="E13" i="1"/>
  <c r="E93" i="1"/>
  <c r="E47" i="1"/>
  <c r="E173" i="1"/>
  <c r="E98" i="1"/>
  <c r="E101" i="1"/>
  <c r="E135" i="1"/>
  <c r="E26" i="1"/>
  <c r="E30" i="1"/>
  <c r="E65" i="1"/>
  <c r="E81" i="1"/>
  <c r="E77" i="1"/>
  <c r="E103" i="1"/>
  <c r="E66" i="1"/>
  <c r="E45" i="1"/>
  <c r="E40" i="1"/>
  <c r="E32" i="1"/>
  <c r="E31" i="1"/>
  <c r="E67" i="1"/>
  <c r="E73" i="1"/>
  <c r="E124" i="1"/>
  <c r="E41" i="1"/>
  <c r="E37" i="1"/>
  <c r="E8" i="1"/>
  <c r="F62" i="4"/>
  <c r="H62" i="4" s="1"/>
  <c r="F158" i="4"/>
  <c r="H158" i="4" s="1"/>
  <c r="F37" i="4"/>
  <c r="H37" i="4" s="1"/>
  <c r="F117" i="4"/>
  <c r="H117" i="4" s="1"/>
  <c r="F9" i="4"/>
  <c r="H9" i="4" s="1"/>
  <c r="F146" i="4"/>
  <c r="H146" i="4" s="1"/>
  <c r="F101" i="4"/>
  <c r="H101" i="4" s="1"/>
  <c r="F72" i="4"/>
  <c r="H72" i="4" s="1"/>
  <c r="F106" i="4"/>
  <c r="H106" i="4" s="1"/>
  <c r="F108" i="4"/>
  <c r="H108" i="4" s="1"/>
  <c r="F73" i="4"/>
  <c r="H73" i="4" s="1"/>
  <c r="F96" i="4"/>
  <c r="H96" i="4" s="1"/>
  <c r="F95" i="4"/>
  <c r="H95" i="4" s="1"/>
  <c r="F128" i="4"/>
  <c r="H128" i="4" s="1"/>
  <c r="F89" i="4"/>
  <c r="H89" i="4" s="1"/>
  <c r="F149" i="4"/>
  <c r="H149" i="4" s="1"/>
  <c r="F93" i="4"/>
  <c r="H93" i="4" s="1"/>
  <c r="F58" i="4"/>
  <c r="H58" i="4" s="1"/>
  <c r="F145" i="4"/>
  <c r="H145" i="4" s="1"/>
  <c r="F90" i="4"/>
  <c r="H90" i="4" s="1"/>
  <c r="F56" i="4"/>
  <c r="H56" i="4" s="1"/>
  <c r="F103" i="4"/>
  <c r="H103" i="4" s="1"/>
  <c r="F18" i="4"/>
  <c r="H18" i="4" s="1"/>
  <c r="F28" i="4"/>
  <c r="H28" i="4" s="1"/>
  <c r="E122" i="1"/>
  <c r="E177" i="1"/>
  <c r="E152" i="1"/>
  <c r="E16" i="1"/>
  <c r="E182" i="1"/>
  <c r="E51" i="1"/>
  <c r="E163" i="1"/>
  <c r="E158" i="1"/>
  <c r="E169" i="1"/>
  <c r="E110" i="1"/>
  <c r="E161" i="1"/>
  <c r="E85" i="1"/>
  <c r="E54" i="1"/>
  <c r="E50" i="1"/>
  <c r="E174" i="1"/>
  <c r="E156" i="1"/>
  <c r="E150" i="1"/>
  <c r="E180" i="1"/>
  <c r="E69" i="1"/>
  <c r="E23" i="1"/>
  <c r="E120" i="1"/>
  <c r="E146" i="1"/>
  <c r="E59" i="1"/>
  <c r="E52" i="1"/>
  <c r="E168" i="1"/>
  <c r="E178" i="1"/>
  <c r="E153" i="1"/>
  <c r="E167" i="1"/>
  <c r="E119" i="1"/>
  <c r="E35" i="1"/>
  <c r="E184" i="1"/>
  <c r="E60" i="1"/>
  <c r="E142" i="1"/>
  <c r="E160" i="1"/>
  <c r="E151" i="1"/>
  <c r="E107" i="1"/>
  <c r="E4" i="1"/>
  <c r="E89" i="1"/>
  <c r="E20" i="1"/>
  <c r="E19" i="1"/>
  <c r="E91" i="1"/>
  <c r="E58" i="1"/>
  <c r="E100" i="1"/>
  <c r="E170" i="1"/>
  <c r="E157" i="1"/>
  <c r="E165" i="1"/>
  <c r="E127" i="1"/>
  <c r="E148" i="1"/>
  <c r="E109" i="1"/>
  <c r="E99" i="1"/>
  <c r="E57" i="1"/>
  <c r="E61" i="1"/>
  <c r="E162" i="1"/>
  <c r="E179" i="1"/>
  <c r="E17" i="1"/>
  <c r="E48" i="1"/>
  <c r="E183" i="1"/>
  <c r="E55" i="1"/>
  <c r="E53" i="1"/>
  <c r="E176" i="1"/>
  <c r="E18" i="1"/>
  <c r="E70" i="1"/>
  <c r="E62" i="1"/>
  <c r="E149" i="1"/>
  <c r="F156" i="4" l="1"/>
  <c r="H156" i="4" s="1"/>
  <c r="F109" i="4"/>
  <c r="H109" i="4" s="1"/>
  <c r="F15" i="4"/>
  <c r="H15" i="4" s="1"/>
  <c r="F168" i="4"/>
  <c r="H168" i="4" s="1"/>
  <c r="F22" i="4"/>
  <c r="H22" i="4" s="1"/>
  <c r="F135" i="4"/>
  <c r="H135" i="4" s="1"/>
  <c r="F8" i="4"/>
  <c r="H8" i="4" s="1"/>
  <c r="F99" i="4"/>
  <c r="H99" i="4" s="1"/>
  <c r="F23" i="4"/>
  <c r="H23" i="4" s="1"/>
  <c r="F10" i="1"/>
  <c r="H10" i="1" s="1"/>
  <c r="F64" i="4"/>
  <c r="H64" i="4" s="1"/>
  <c r="F155" i="4"/>
  <c r="H155" i="4" s="1"/>
  <c r="F16" i="4"/>
  <c r="H16" i="4" s="1"/>
  <c r="F191" i="4"/>
  <c r="H191" i="4" s="1"/>
  <c r="F124" i="4"/>
  <c r="H124" i="4" s="1"/>
  <c r="F144" i="4"/>
  <c r="H144" i="4" s="1"/>
  <c r="F91" i="4"/>
  <c r="H91" i="4" s="1"/>
  <c r="F75" i="4"/>
  <c r="H75" i="4" s="1"/>
  <c r="F97" i="4"/>
  <c r="H97" i="4" s="1"/>
  <c r="F147" i="4"/>
  <c r="H147" i="4" s="1"/>
  <c r="F193" i="4"/>
  <c r="H193" i="4" s="1"/>
  <c r="F182" i="4"/>
  <c r="H182" i="4" s="1"/>
  <c r="F177" i="4"/>
  <c r="H177" i="4" s="1"/>
  <c r="F160" i="4"/>
  <c r="H160" i="4" s="1"/>
  <c r="F190" i="4"/>
  <c r="H190" i="4" s="1"/>
  <c r="F173" i="4"/>
  <c r="H173" i="4" s="1"/>
  <c r="F116" i="4"/>
  <c r="H116" i="4" s="1"/>
  <c r="F59" i="4"/>
  <c r="H59" i="4" s="1"/>
  <c r="F118" i="4"/>
  <c r="H118" i="4" s="1"/>
  <c r="F154" i="4"/>
  <c r="H154" i="4" s="1"/>
  <c r="F143" i="4"/>
  <c r="H143" i="4" s="1"/>
  <c r="F84" i="4"/>
  <c r="H84" i="4" s="1"/>
  <c r="F83" i="4"/>
  <c r="H83" i="4" s="1"/>
  <c r="F17" i="4"/>
  <c r="H17" i="4" s="1"/>
  <c r="F164" i="4"/>
  <c r="H164" i="4" s="1"/>
  <c r="F24" i="4"/>
  <c r="H24" i="4" s="1"/>
  <c r="F81" i="4"/>
  <c r="H81" i="4" s="1"/>
  <c r="F111" i="4"/>
  <c r="H111" i="4" s="1"/>
  <c r="F110" i="4"/>
  <c r="H110" i="4" s="1"/>
  <c r="F20" i="4"/>
  <c r="H20" i="4" s="1"/>
  <c r="F123" i="4"/>
  <c r="H123" i="4" s="1"/>
  <c r="F114" i="4"/>
  <c r="H114" i="4" s="1"/>
  <c r="F104" i="4"/>
  <c r="H104" i="4" s="1"/>
  <c r="F11" i="4"/>
  <c r="H11" i="4" s="1"/>
  <c r="F51" i="4"/>
  <c r="H51" i="4" s="1"/>
  <c r="F126" i="4"/>
  <c r="H126" i="4" s="1"/>
  <c r="F31" i="4"/>
  <c r="H31" i="4" s="1"/>
  <c r="F98" i="4"/>
  <c r="H98" i="4" s="1"/>
  <c r="F76" i="4"/>
  <c r="H76" i="4" s="1"/>
  <c r="F5" i="4"/>
  <c r="H5" i="4" s="1"/>
  <c r="F21" i="4"/>
  <c r="H21" i="4" s="1"/>
  <c r="F140" i="4"/>
  <c r="H140" i="4" s="1"/>
  <c r="F107" i="4"/>
  <c r="H107" i="4" s="1"/>
  <c r="F115" i="4"/>
  <c r="H115" i="4" s="1"/>
  <c r="F197" i="4"/>
  <c r="H197" i="4" s="1"/>
  <c r="F7" i="4"/>
  <c r="H7" i="4" s="1"/>
  <c r="F74" i="4"/>
  <c r="H74" i="4" s="1"/>
  <c r="F185" i="4"/>
  <c r="H185" i="4" s="1"/>
  <c r="F131" i="4"/>
  <c r="H131" i="4" s="1"/>
  <c r="F194" i="4"/>
  <c r="H194" i="4" s="1"/>
  <c r="F39" i="4"/>
  <c r="H39" i="4" s="1"/>
  <c r="F167" i="4"/>
  <c r="H167" i="4" s="1"/>
  <c r="F79" i="4"/>
  <c r="H79" i="4" s="1"/>
  <c r="F188" i="4"/>
  <c r="H188" i="4" s="1"/>
  <c r="F14" i="4"/>
  <c r="H14" i="4" s="1"/>
  <c r="F53" i="4"/>
  <c r="H53" i="4" s="1"/>
  <c r="F179" i="4"/>
  <c r="H179" i="4" s="1"/>
  <c r="F44" i="4"/>
  <c r="H44" i="4" s="1"/>
  <c r="F100" i="4"/>
  <c r="H100" i="4" s="1"/>
  <c r="F65" i="4"/>
  <c r="H65" i="4" s="1"/>
  <c r="F19" i="4"/>
  <c r="H19" i="4" s="1"/>
  <c r="F120" i="4"/>
  <c r="H120" i="4" s="1"/>
  <c r="F175" i="4"/>
  <c r="H175" i="4" s="1"/>
  <c r="F178" i="4"/>
  <c r="H178" i="4" s="1"/>
  <c r="F134" i="4"/>
  <c r="H134" i="4" s="1"/>
  <c r="F113" i="4"/>
  <c r="H113" i="4" s="1"/>
  <c r="F61" i="4"/>
  <c r="H61" i="4" s="1"/>
  <c r="F60" i="4"/>
  <c r="H60" i="4" s="1"/>
  <c r="F150" i="4"/>
  <c r="H150" i="4" s="1"/>
  <c r="F4" i="4"/>
  <c r="H4" i="4" s="1"/>
  <c r="F137" i="4"/>
  <c r="H137" i="4" s="1"/>
  <c r="F32" i="4"/>
  <c r="H32" i="4" s="1"/>
  <c r="F54" i="4"/>
  <c r="H54" i="4" s="1"/>
  <c r="F181" i="4"/>
  <c r="H181" i="4" s="1"/>
  <c r="F157" i="4"/>
  <c r="H157" i="4" s="1"/>
  <c r="F78" i="4"/>
  <c r="H78" i="4" s="1"/>
  <c r="F189" i="4"/>
  <c r="H189" i="4" s="1"/>
  <c r="F55" i="4"/>
  <c r="H55" i="4" s="1"/>
  <c r="F186" i="4"/>
  <c r="H186" i="4" s="1"/>
  <c r="F47" i="4"/>
  <c r="H47" i="4" s="1"/>
  <c r="F141" i="4"/>
  <c r="H141" i="4" s="1"/>
  <c r="F172" i="4"/>
  <c r="H172" i="4" s="1"/>
  <c r="F130" i="4"/>
  <c r="H130" i="4" s="1"/>
  <c r="F112" i="4"/>
  <c r="H112" i="4" s="1"/>
  <c r="F171" i="4"/>
  <c r="H171" i="4" s="1"/>
  <c r="F195" i="4"/>
  <c r="H195" i="4" s="1"/>
  <c r="E175" i="2"/>
  <c r="E156" i="2"/>
  <c r="E174" i="2"/>
  <c r="E179" i="2"/>
  <c r="E178" i="2"/>
  <c r="E172" i="2"/>
  <c r="E186" i="2"/>
  <c r="E158" i="2"/>
  <c r="E182" i="2"/>
  <c r="E170" i="2"/>
  <c r="E177" i="2"/>
  <c r="E167" i="2"/>
  <c r="E173" i="2"/>
  <c r="E164" i="2"/>
  <c r="E166" i="2"/>
  <c r="E161" i="2"/>
  <c r="E157" i="2"/>
  <c r="E180" i="2"/>
  <c r="E159" i="2"/>
  <c r="E168" i="2"/>
  <c r="E171" i="2"/>
  <c r="E183" i="2"/>
  <c r="E187" i="2"/>
  <c r="E169" i="2"/>
  <c r="D167" i="1"/>
  <c r="F167" i="1" s="1"/>
  <c r="H167" i="1" s="1"/>
  <c r="D111" i="1"/>
  <c r="F111" i="1" s="1"/>
  <c r="H111" i="1" s="1"/>
  <c r="D164" i="1"/>
  <c r="F164" i="1" s="1"/>
  <c r="H164" i="1" s="1"/>
  <c r="D184" i="1"/>
  <c r="F184" i="1" s="1"/>
  <c r="H184" i="1" s="1"/>
  <c r="E185" i="2"/>
  <c r="E163" i="2"/>
  <c r="E160" i="2"/>
  <c r="E181" i="2"/>
  <c r="E184" i="2"/>
  <c r="D172" i="1" s="1"/>
  <c r="F172" i="1" s="1"/>
  <c r="H172" i="1" s="1"/>
  <c r="E165" i="2"/>
  <c r="E176" i="2"/>
  <c r="D162" i="1"/>
  <c r="F162" i="1" s="1"/>
  <c r="H162" i="1" s="1"/>
  <c r="E162" i="2"/>
  <c r="D171" i="1" l="1"/>
  <c r="F171" i="1" s="1"/>
  <c r="H171" i="1" s="1"/>
  <c r="D138" i="1"/>
  <c r="F138" i="1" s="1"/>
  <c r="H138" i="1" s="1"/>
  <c r="D12" i="1"/>
  <c r="F12" i="1" s="1"/>
  <c r="H12" i="1" s="1"/>
  <c r="D188" i="1"/>
  <c r="F188" i="1" s="1"/>
  <c r="H188" i="1" s="1"/>
  <c r="D104" i="1"/>
  <c r="F104" i="1" s="1"/>
  <c r="H104" i="1" s="1"/>
  <c r="D28" i="1"/>
  <c r="F28" i="1" s="1"/>
  <c r="H28" i="1" s="1"/>
  <c r="D169" i="1"/>
  <c r="F169" i="1" s="1"/>
  <c r="H169" i="1" s="1"/>
  <c r="D155" i="1"/>
  <c r="F155" i="1" s="1"/>
  <c r="H155" i="1" s="1"/>
  <c r="D142" i="1"/>
  <c r="F142" i="1" s="1"/>
  <c r="H142" i="1" s="1"/>
  <c r="D182" i="1"/>
  <c r="F182" i="1" s="1"/>
  <c r="H182" i="1" s="1"/>
  <c r="D70" i="1"/>
  <c r="F70" i="1" s="1"/>
  <c r="H70" i="1" s="1"/>
  <c r="D166" i="1"/>
  <c r="F166" i="1" s="1"/>
  <c r="H166" i="1" s="1"/>
  <c r="D165" i="1"/>
  <c r="F165" i="1" s="1"/>
  <c r="H165" i="1" s="1"/>
  <c r="D149" i="1"/>
  <c r="F149" i="1" s="1"/>
  <c r="H149" i="1" s="1"/>
  <c r="D114" i="1"/>
  <c r="F114" i="1" s="1"/>
  <c r="H114" i="1" s="1"/>
  <c r="D74" i="1"/>
  <c r="F74" i="1" s="1"/>
  <c r="H74" i="1" s="1"/>
  <c r="D187" i="1"/>
  <c r="F187" i="1" s="1"/>
  <c r="H187" i="1" s="1"/>
  <c r="D130" i="1"/>
  <c r="F130" i="1" s="1"/>
  <c r="H130" i="1" s="1"/>
  <c r="D117" i="1"/>
  <c r="F117" i="1" s="1"/>
  <c r="H117" i="1" s="1"/>
  <c r="D179" i="1"/>
  <c r="F179" i="1" s="1"/>
  <c r="H179" i="1" s="1"/>
  <c r="D81" i="1"/>
  <c r="F81" i="1" s="1"/>
  <c r="H81" i="1" s="1"/>
  <c r="D56" i="1"/>
  <c r="F56" i="1" s="1"/>
  <c r="H56" i="1" s="1"/>
  <c r="D72" i="1"/>
  <c r="F72" i="1" s="1"/>
  <c r="H72" i="1" s="1"/>
  <c r="D147" i="1"/>
  <c r="F147" i="1" s="1"/>
  <c r="H147" i="1" s="1"/>
  <c r="D120" i="1"/>
  <c r="F120" i="1" s="1"/>
  <c r="H120" i="1" s="1"/>
  <c r="D69" i="1"/>
  <c r="F69" i="1" s="1"/>
  <c r="H69" i="1" s="1"/>
  <c r="D14" i="1"/>
  <c r="F14" i="1" s="1"/>
  <c r="H14" i="1" s="1"/>
  <c r="D44" i="1"/>
  <c r="F44" i="1" s="1"/>
  <c r="H44" i="1" s="1"/>
  <c r="D127" i="1"/>
  <c r="F127" i="1" s="1"/>
  <c r="H127" i="1" s="1"/>
  <c r="D185" i="1"/>
  <c r="F185" i="1" s="1"/>
  <c r="H185" i="1" s="1"/>
  <c r="D144" i="1"/>
  <c r="F144" i="1" s="1"/>
  <c r="H144" i="1" s="1"/>
  <c r="D90" i="1"/>
  <c r="F90" i="1" s="1"/>
  <c r="H90" i="1" s="1"/>
  <c r="D133" i="1"/>
  <c r="F133" i="1" s="1"/>
  <c r="H133" i="1" s="1"/>
  <c r="D174" i="1"/>
  <c r="F174" i="1" s="1"/>
  <c r="H174" i="1" s="1"/>
  <c r="D76" i="1"/>
  <c r="F76" i="1" s="1"/>
  <c r="H76" i="1" s="1"/>
  <c r="D71" i="1"/>
  <c r="F71" i="1" s="1"/>
  <c r="H71" i="1" s="1"/>
  <c r="D58" i="1"/>
  <c r="F58" i="1" s="1"/>
  <c r="H58" i="1" s="1"/>
  <c r="D66" i="1"/>
  <c r="F66" i="1" s="1"/>
  <c r="H66" i="1" s="1"/>
  <c r="D87" i="1"/>
  <c r="F87" i="1" s="1"/>
  <c r="H87" i="1" s="1"/>
  <c r="D98" i="1"/>
  <c r="F98" i="1" s="1"/>
  <c r="H98" i="1" s="1"/>
  <c r="D35" i="1"/>
  <c r="F35" i="1" s="1"/>
  <c r="H35" i="1" s="1"/>
  <c r="D140" i="1"/>
  <c r="F140" i="1" s="1"/>
  <c r="H140" i="1" s="1"/>
  <c r="D108" i="1"/>
  <c r="F108" i="1" s="1"/>
  <c r="H108" i="1" s="1"/>
  <c r="D176" i="1"/>
  <c r="F176" i="1" s="1"/>
  <c r="H176" i="1" s="1"/>
  <c r="D38" i="1"/>
  <c r="F38" i="1" s="1"/>
  <c r="H38" i="1" s="1"/>
  <c r="D143" i="1"/>
  <c r="F143" i="1" s="1"/>
  <c r="H143" i="1" s="1"/>
  <c r="D4" i="1"/>
  <c r="F4" i="1" s="1"/>
  <c r="H4" i="1" s="1"/>
  <c r="D103" i="1"/>
  <c r="F103" i="1" s="1"/>
  <c r="H103" i="1" s="1"/>
  <c r="D129" i="1"/>
  <c r="F129" i="1" s="1"/>
  <c r="H129" i="1" s="1"/>
  <c r="D64" i="1"/>
  <c r="F64" i="1" s="1"/>
  <c r="H64" i="1" s="1"/>
  <c r="D152" i="1"/>
  <c r="F152" i="1" s="1"/>
  <c r="H152" i="1" s="1"/>
  <c r="D15" i="1"/>
  <c r="F15" i="1" s="1"/>
  <c r="H15" i="1" s="1"/>
  <c r="D61" i="1"/>
  <c r="F61" i="1" s="1"/>
  <c r="H61" i="1" s="1"/>
  <c r="D132" i="1"/>
  <c r="F132" i="1" s="1"/>
  <c r="H132" i="1" s="1"/>
  <c r="D48" i="1"/>
  <c r="F48" i="1" s="1"/>
  <c r="H48" i="1" s="1"/>
  <c r="D134" i="1"/>
  <c r="F134" i="1" s="1"/>
  <c r="H134" i="1" s="1"/>
  <c r="D25" i="1"/>
  <c r="F25" i="1" s="1"/>
  <c r="H25" i="1" s="1"/>
  <c r="D125" i="1"/>
  <c r="F125" i="1" s="1"/>
  <c r="H125" i="1" s="1"/>
  <c r="D115" i="1"/>
  <c r="F115" i="1" s="1"/>
  <c r="H115" i="1" s="1"/>
  <c r="D75" i="1"/>
  <c r="F75" i="1" s="1"/>
  <c r="H75" i="1" s="1"/>
  <c r="D53" i="1"/>
  <c r="F53" i="1" s="1"/>
  <c r="H53" i="1" s="1"/>
  <c r="D109" i="1"/>
  <c r="F109" i="1" s="1"/>
  <c r="H109" i="1" s="1"/>
  <c r="D92" i="1"/>
  <c r="F92" i="1" s="1"/>
  <c r="H92" i="1" s="1"/>
  <c r="D85" i="1"/>
  <c r="F85" i="1" s="1"/>
  <c r="H85" i="1" s="1"/>
  <c r="D83" i="1"/>
  <c r="F83" i="1" s="1"/>
  <c r="H83" i="1" s="1"/>
  <c r="D180" i="1"/>
  <c r="F180" i="1" s="1"/>
  <c r="H180" i="1" s="1"/>
  <c r="D18" i="1"/>
  <c r="F18" i="1" s="1"/>
  <c r="H18" i="1" s="1"/>
  <c r="D97" i="1"/>
  <c r="F97" i="1" s="1"/>
  <c r="H97" i="1" s="1"/>
  <c r="D177" i="1"/>
  <c r="F177" i="1" s="1"/>
  <c r="H177" i="1" s="1"/>
  <c r="D65" i="1"/>
  <c r="F65" i="1" s="1"/>
  <c r="H65" i="1" s="1"/>
  <c r="D78" i="1"/>
  <c r="F78" i="1" s="1"/>
  <c r="H78" i="1" s="1"/>
  <c r="D51" i="1"/>
  <c r="F51" i="1" s="1"/>
  <c r="H51" i="1" s="1"/>
  <c r="D136" i="1"/>
  <c r="F136" i="1" s="1"/>
  <c r="H136" i="1" s="1"/>
  <c r="D50" i="1"/>
  <c r="F50" i="1" s="1"/>
  <c r="H50" i="1" s="1"/>
  <c r="D173" i="1"/>
  <c r="F173" i="1" s="1"/>
  <c r="H173" i="1" s="1"/>
  <c r="D170" i="1"/>
  <c r="F170" i="1" s="1"/>
  <c r="H170" i="1" s="1"/>
  <c r="D156" i="1"/>
  <c r="F156" i="1" s="1"/>
  <c r="H156" i="1" s="1"/>
  <c r="D107" i="1"/>
  <c r="F107" i="1" s="1"/>
  <c r="H107" i="1" s="1"/>
  <c r="D145" i="1"/>
  <c r="F145" i="1" s="1"/>
  <c r="H145" i="1" s="1"/>
  <c r="D20" i="1"/>
  <c r="F20" i="1" s="1"/>
  <c r="H20" i="1" s="1"/>
  <c r="D68" i="1"/>
  <c r="F68" i="1" s="1"/>
  <c r="H68" i="1" s="1"/>
  <c r="D24" i="1"/>
  <c r="F24" i="1" s="1"/>
  <c r="H24" i="1" s="1"/>
  <c r="D137" i="1"/>
  <c r="F137" i="1" s="1"/>
  <c r="H137" i="1" s="1"/>
  <c r="D5" i="1"/>
  <c r="F5" i="1" s="1"/>
  <c r="H5" i="1" s="1"/>
  <c r="D9" i="1"/>
  <c r="F9" i="1" s="1"/>
  <c r="H9" i="1" s="1"/>
  <c r="D100" i="1"/>
  <c r="F100" i="1" s="1"/>
  <c r="H100" i="1" s="1"/>
  <c r="D82" i="1"/>
  <c r="F82" i="1" s="1"/>
  <c r="H82" i="1" s="1"/>
  <c r="D31" i="1"/>
  <c r="F31" i="1" s="1"/>
  <c r="H31" i="1" s="1"/>
  <c r="D89" i="1"/>
  <c r="F89" i="1" s="1"/>
  <c r="H89" i="1" s="1"/>
  <c r="D186" i="1"/>
  <c r="F186" i="1" s="1"/>
  <c r="H186" i="1" s="1"/>
  <c r="D13" i="1"/>
  <c r="F13" i="1" s="1"/>
  <c r="H13" i="1" s="1"/>
  <c r="D43" i="1"/>
  <c r="F43" i="1" s="1"/>
  <c r="H43" i="1" s="1"/>
  <c r="D52" i="1"/>
  <c r="F52" i="1" s="1"/>
  <c r="H52" i="1" s="1"/>
  <c r="D178" i="1"/>
  <c r="F178" i="1" s="1"/>
  <c r="H178" i="1" s="1"/>
  <c r="D73" i="1"/>
  <c r="F73" i="1" s="1"/>
  <c r="H73" i="1" s="1"/>
  <c r="D113" i="1"/>
  <c r="F113" i="1" s="1"/>
  <c r="H113" i="1" s="1"/>
  <c r="D77" i="1"/>
  <c r="F77" i="1" s="1"/>
  <c r="H77" i="1" s="1"/>
  <c r="D6" i="1"/>
  <c r="F6" i="1" s="1"/>
  <c r="H6" i="1" s="1"/>
  <c r="D150" i="1"/>
  <c r="F150" i="1" s="1"/>
  <c r="H150" i="1" s="1"/>
  <c r="D183" i="1"/>
  <c r="F183" i="1" s="1"/>
  <c r="H183" i="1" s="1"/>
  <c r="D55" i="1"/>
  <c r="F55" i="1" s="1"/>
  <c r="H55" i="1" s="1"/>
  <c r="D79" i="1"/>
  <c r="F79" i="1" s="1"/>
  <c r="H79" i="1" s="1"/>
  <c r="D49" i="1"/>
  <c r="F49" i="1" s="1"/>
  <c r="H49" i="1" s="1"/>
  <c r="D21" i="1"/>
  <c r="F21" i="1" s="1"/>
  <c r="H21" i="1" s="1"/>
  <c r="D46" i="1"/>
  <c r="F46" i="1" s="1"/>
  <c r="H46" i="1" s="1"/>
  <c r="D102" i="1"/>
  <c r="F102" i="1" s="1"/>
  <c r="H102" i="1" s="1"/>
  <c r="D106" i="1"/>
  <c r="F106" i="1" s="1"/>
  <c r="H106" i="1" s="1"/>
  <c r="D34" i="1"/>
  <c r="F34" i="1" s="1"/>
  <c r="H34" i="1" s="1"/>
  <c r="D19" i="1"/>
  <c r="F19" i="1" s="1"/>
  <c r="H19" i="1" s="1"/>
  <c r="D141" i="1"/>
  <c r="F141" i="1" s="1"/>
  <c r="H141" i="1" s="1"/>
  <c r="D101" i="1"/>
  <c r="F101" i="1" s="1"/>
  <c r="H101" i="1" s="1"/>
  <c r="D80" i="1"/>
  <c r="F80" i="1" s="1"/>
  <c r="H80" i="1" s="1"/>
  <c r="D42" i="1"/>
  <c r="F42" i="1" s="1"/>
  <c r="H42" i="1" s="1"/>
  <c r="D154" i="1"/>
  <c r="F154" i="1" s="1"/>
  <c r="H154" i="1" s="1"/>
  <c r="D157" i="1"/>
  <c r="F157" i="1" s="1"/>
  <c r="H157" i="1" s="1"/>
  <c r="D86" i="1"/>
  <c r="F86" i="1" s="1"/>
  <c r="H86" i="1" s="1"/>
  <c r="D126" i="1"/>
  <c r="F126" i="1" s="1"/>
  <c r="H126" i="1" s="1"/>
  <c r="D37" i="1"/>
  <c r="F37" i="1" s="1"/>
  <c r="H37" i="1" s="1"/>
  <c r="D153" i="1"/>
  <c r="F153" i="1" s="1"/>
  <c r="H153" i="1" s="1"/>
  <c r="D32" i="1"/>
  <c r="F32" i="1" s="1"/>
  <c r="H32" i="1" s="1"/>
  <c r="D40" i="1"/>
  <c r="F40" i="1" s="1"/>
  <c r="H40" i="1" s="1"/>
  <c r="D45" i="1"/>
  <c r="F45" i="1" s="1"/>
  <c r="H45" i="1" s="1"/>
  <c r="D146" i="1"/>
  <c r="F146" i="1" s="1"/>
  <c r="H146" i="1" s="1"/>
  <c r="D33" i="1"/>
  <c r="F33" i="1" s="1"/>
  <c r="H33" i="1" s="1"/>
  <c r="D88" i="1"/>
  <c r="F88" i="1" s="1"/>
  <c r="H88" i="1" s="1"/>
  <c r="D122" i="1"/>
  <c r="F122" i="1" s="1"/>
  <c r="H122" i="1" s="1"/>
  <c r="D8" i="1"/>
  <c r="F8" i="1" s="1"/>
  <c r="H8" i="1" s="1"/>
  <c r="D59" i="1"/>
  <c r="F59" i="1" s="1"/>
  <c r="H59" i="1" s="1"/>
  <c r="D94" i="1"/>
  <c r="F94" i="1" s="1"/>
  <c r="H94" i="1" s="1"/>
  <c r="D26" i="1"/>
  <c r="F26" i="1" s="1"/>
  <c r="H26" i="1" s="1"/>
  <c r="D163" i="1"/>
  <c r="F163" i="1" s="1"/>
  <c r="H163" i="1" s="1"/>
  <c r="D123" i="1"/>
  <c r="F123" i="1" s="1"/>
  <c r="H123" i="1" s="1"/>
  <c r="D99" i="1"/>
  <c r="F99" i="1" s="1"/>
  <c r="H99" i="1" s="1"/>
  <c r="D181" i="1"/>
  <c r="F181" i="1" s="1"/>
  <c r="H181" i="1" s="1"/>
  <c r="D16" i="1"/>
  <c r="F16" i="1" s="1"/>
  <c r="H16" i="1" s="1"/>
  <c r="D29" i="1"/>
  <c r="F29" i="1" s="1"/>
  <c r="H29" i="1" s="1"/>
  <c r="D60" i="1"/>
  <c r="F60" i="1" s="1"/>
  <c r="H60" i="1" s="1"/>
  <c r="D91" i="1"/>
  <c r="F91" i="1" s="1"/>
  <c r="H91" i="1" s="1"/>
  <c r="D11" i="1"/>
  <c r="F11" i="1" s="1"/>
  <c r="H11" i="1" s="1"/>
  <c r="D116" i="1"/>
  <c r="F116" i="1" s="1"/>
  <c r="H116" i="1" s="1"/>
  <c r="D96" i="1"/>
  <c r="F96" i="1" s="1"/>
  <c r="H96" i="1" s="1"/>
  <c r="D67" i="1"/>
  <c r="F67" i="1" s="1"/>
  <c r="H67" i="1" s="1"/>
  <c r="D105" i="1"/>
  <c r="F105" i="1" s="1"/>
  <c r="H105" i="1" s="1"/>
  <c r="D121" i="1"/>
  <c r="F121" i="1" s="1"/>
  <c r="H121" i="1" s="1"/>
  <c r="D84" i="1"/>
  <c r="F84" i="1" s="1"/>
  <c r="H84" i="1" s="1"/>
  <c r="D27" i="1"/>
  <c r="F27" i="1" s="1"/>
  <c r="H27" i="1" s="1"/>
  <c r="D118" i="1"/>
  <c r="F118" i="1" s="1"/>
  <c r="H118" i="1" s="1"/>
  <c r="D112" i="1"/>
  <c r="F112" i="1" s="1"/>
  <c r="H112" i="1" s="1"/>
  <c r="D39" i="1"/>
  <c r="F39" i="1" s="1"/>
  <c r="H39" i="1" s="1"/>
  <c r="D95" i="1"/>
  <c r="F95" i="1" s="1"/>
  <c r="H95" i="1" s="1"/>
  <c r="D63" i="1"/>
  <c r="F63" i="1" s="1"/>
  <c r="H63" i="1" s="1"/>
  <c r="D7" i="1"/>
  <c r="F7" i="1" s="1"/>
  <c r="H7" i="1" s="1"/>
  <c r="D131" i="1"/>
  <c r="F131" i="1" s="1"/>
  <c r="H131" i="1" s="1"/>
  <c r="D41" i="1"/>
  <c r="F41" i="1" s="1"/>
  <c r="H41" i="1" s="1"/>
  <c r="D139" i="1"/>
  <c r="F139" i="1" s="1"/>
  <c r="H139" i="1" s="1"/>
  <c r="D93" i="1"/>
  <c r="F93" i="1" s="1"/>
  <c r="H93" i="1" s="1"/>
  <c r="D110" i="1"/>
  <c r="F110" i="1" s="1"/>
  <c r="H110" i="1" s="1"/>
  <c r="D119" i="1"/>
  <c r="F119" i="1" s="1"/>
  <c r="H119" i="1" s="1"/>
  <c r="D124" i="1"/>
  <c r="F124" i="1" s="1"/>
  <c r="H124" i="1" s="1"/>
  <c r="D175" i="1"/>
  <c r="F175" i="1" s="1"/>
  <c r="H175" i="1" s="1"/>
  <c r="D47" i="1"/>
  <c r="F47" i="1" s="1"/>
  <c r="H47" i="1" s="1"/>
  <c r="D36" i="1"/>
  <c r="F36" i="1" s="1"/>
  <c r="H36" i="1" s="1"/>
  <c r="D17" i="1"/>
  <c r="F17" i="1" s="1"/>
  <c r="H17" i="1" s="1"/>
  <c r="D151" i="1"/>
  <c r="F151" i="1" s="1"/>
  <c r="H151" i="1" s="1"/>
  <c r="D30" i="1"/>
  <c r="F30" i="1" s="1"/>
  <c r="H30" i="1" s="1"/>
  <c r="D62" i="1"/>
  <c r="F62" i="1" s="1"/>
  <c r="H62" i="1" s="1"/>
  <c r="D168" i="1"/>
  <c r="F168" i="1" s="1"/>
  <c r="H168" i="1" s="1"/>
  <c r="D159" i="1"/>
  <c r="F159" i="1" s="1"/>
  <c r="H159" i="1" s="1"/>
  <c r="D128" i="1"/>
  <c r="F128" i="1" s="1"/>
  <c r="H128" i="1" s="1"/>
  <c r="D161" i="1"/>
  <c r="F161" i="1" s="1"/>
  <c r="H161" i="1" s="1"/>
  <c r="D57" i="1"/>
  <c r="F57" i="1" s="1"/>
  <c r="H57" i="1" s="1"/>
  <c r="D148" i="1"/>
  <c r="F148" i="1" s="1"/>
  <c r="H148" i="1" s="1"/>
  <c r="D135" i="1"/>
  <c r="F135" i="1" s="1"/>
  <c r="H135" i="1" s="1"/>
  <c r="D54" i="1"/>
  <c r="F54" i="1" s="1"/>
  <c r="H54" i="1" s="1"/>
  <c r="D160" i="1"/>
  <c r="F160" i="1" s="1"/>
  <c r="H160" i="1" s="1"/>
  <c r="D158" i="1"/>
  <c r="F158" i="1" s="1"/>
  <c r="H158" i="1" s="1"/>
  <c r="D23" i="1"/>
  <c r="F23" i="1" s="1"/>
  <c r="H23" i="1" s="1"/>
  <c r="D22" i="1"/>
  <c r="F22" i="1" s="1"/>
  <c r="H22" i="1" s="1"/>
</calcChain>
</file>

<file path=xl/sharedStrings.xml><?xml version="1.0" encoding="utf-8"?>
<sst xmlns="http://schemas.openxmlformats.org/spreadsheetml/2006/main" count="1587" uniqueCount="798">
  <si>
    <t>DESCRIPCIÓN</t>
  </si>
  <si>
    <t>LOTE</t>
  </si>
  <si>
    <t>ENTRADAS</t>
  </si>
  <si>
    <t xml:space="preserve">SALIDAS </t>
  </si>
  <si>
    <t>STOCK ACTUAL</t>
  </si>
  <si>
    <t>RESORTE DE CABEZOTE 450XL-35252A</t>
  </si>
  <si>
    <t>LT001</t>
  </si>
  <si>
    <t>Nro. DOCUMENTOS</t>
  </si>
  <si>
    <t>FECHA</t>
  </si>
  <si>
    <t>CÓDIGO PRODUCTO</t>
  </si>
  <si>
    <t>CANTIDAD</t>
  </si>
  <si>
    <t>RESORTE DE CABEZOTE 440 - 31882A</t>
  </si>
  <si>
    <t>SELLO MECÁNICO 440 KT508</t>
  </si>
  <si>
    <t>LT002</t>
  </si>
  <si>
    <t>LT003</t>
  </si>
  <si>
    <t>HEATER 120 VOLTIOS</t>
  </si>
  <si>
    <t>HEATER 230 V 2069K</t>
  </si>
  <si>
    <t>LT004</t>
  </si>
  <si>
    <t>SELLO MECÁNICO 450XL KT509</t>
  </si>
  <si>
    <t>VÁLVULA DE SUCCIÓN</t>
  </si>
  <si>
    <t>VÁLVULA DE DESCARGA 440</t>
  </si>
  <si>
    <t>VÁLVULA DE DESCARGA 450</t>
  </si>
  <si>
    <t>VÁLVULA DE DESCARGA 440 REUSABLES</t>
  </si>
  <si>
    <t>BULÓN DE PISTÓN</t>
  </si>
  <si>
    <t>PISTÓN DE CAPACIDAD NEW STYLE</t>
  </si>
  <si>
    <t>PISTÓN DE CAPACIDAD OLD STYLE</t>
  </si>
  <si>
    <t>BUJES DE BIELA</t>
  </si>
  <si>
    <t>VÁLVULA DE PASO ANGULAR 2" - DANFOSS</t>
  </si>
  <si>
    <t>VÁLVULA REGULADORA DE PRESIÓN A4AL - PARKER 4 PERNOS</t>
  </si>
  <si>
    <t>VÁLVULA ANGULAR 2" - CASTLE</t>
  </si>
  <si>
    <t>VÁLVULA ANGULAR 3" - CASTLE</t>
  </si>
  <si>
    <t>VÁLVULA REGULADORA DE PRESIÓN A4AL - PARKER 2 PERNOS</t>
  </si>
  <si>
    <t>VÁLVULA AMG PASO ANGULAR 2"</t>
  </si>
  <si>
    <r>
      <t xml:space="preserve">VÁLVULA DE EXPANSIÓN MANUAL PARKER </t>
    </r>
    <r>
      <rPr>
        <b/>
        <sz val="11"/>
        <color theme="1"/>
        <rFont val="Aptos Narrow"/>
        <family val="2"/>
      </rPr>
      <t>½</t>
    </r>
  </si>
  <si>
    <r>
      <t>VÁLVULA SOLENOIDE PARKER S4A 1</t>
    </r>
    <r>
      <rPr>
        <b/>
        <sz val="11"/>
        <color theme="1"/>
        <rFont val="Aptos Narrow"/>
        <family val="2"/>
      </rPr>
      <t>¼</t>
    </r>
    <r>
      <rPr>
        <b/>
        <sz val="11"/>
        <color theme="1"/>
        <rFont val="Aptos Narrow"/>
        <family val="2"/>
        <scheme val="minor"/>
      </rPr>
      <t>" - 4 PERNOS</t>
    </r>
  </si>
  <si>
    <r>
      <t xml:space="preserve">VÁLVULA SOLDABLE </t>
    </r>
    <r>
      <rPr>
        <b/>
        <sz val="11"/>
        <color theme="1"/>
        <rFont val="Aptos Narrow"/>
        <family val="2"/>
      </rPr>
      <t>½ AGM</t>
    </r>
  </si>
  <si>
    <t>VÁLVULA DE PASO ROSCABLE ½ PARKER</t>
  </si>
  <si>
    <t>VÁLVULA DE PASO ROSCABLES 1" - HANSEN</t>
  </si>
  <si>
    <t>VÁLVULA DE PASO SOLDABLE ½  - HANSEN</t>
  </si>
  <si>
    <t>VÁLVULA DE ¼ PARA MANÓMETRO - PARKER</t>
  </si>
  <si>
    <t>VÁLVULA DE SERVICIO DE DESCARGA BITZER 3"</t>
  </si>
  <si>
    <t>VÁLVULA DE PASO RECTA SOLDABLE ½ - DANFOSS</t>
  </si>
  <si>
    <t>VÁLVULA DE SERVICIO BITZER 2 ½"</t>
  </si>
  <si>
    <t>VÁLVULA DE SERVICIO BITZER 2"</t>
  </si>
  <si>
    <t>MÓDULO PARA VÁLVULA SOLENOIDE ICFE25-40 DANFOSS</t>
  </si>
  <si>
    <t>SUPER FILTRO FRICK RXF 50</t>
  </si>
  <si>
    <t xml:space="preserve">VÁLVULA SOLENOIDE PARKER S4A - 2 PERNOS </t>
  </si>
  <si>
    <t>FILTRO SABROE DE TORNILLO SAB 163</t>
  </si>
  <si>
    <t>FILTRO DE ACEITE BITZER 180 HP - MODELO [362105-02]</t>
  </si>
  <si>
    <t>FILTRO COLADOR 1 ¼ HANSEN</t>
  </si>
  <si>
    <t>FILTRO DE PIEDRA D48</t>
  </si>
  <si>
    <t>FILTRO MYCON DE ACEITE 50850301</t>
  </si>
  <si>
    <t>FILTRO DE ACEITE FRICK 950A0020 H02</t>
  </si>
  <si>
    <t>FILTRO GEA 030-00613C-010R</t>
  </si>
  <si>
    <t>FILTRO DE SUCCIÓN PARA COMPRESOR BITZER XF48</t>
  </si>
  <si>
    <t>FILTRO SABROE SMC100</t>
  </si>
  <si>
    <t>FILTRO DE ACEITE MYCOM 200</t>
  </si>
  <si>
    <t>KIT DE REPARACIÓN PARA SOLENOIDE ICFE20 -  DANFOSS</t>
  </si>
  <si>
    <t>KIT DE SELLO MECÁNCICO FRICK XJ 120</t>
  </si>
  <si>
    <t>KIT DE SELLO MECÁNICO FRICK XJ 151</t>
  </si>
  <si>
    <t>VISOR DE LÍQUIDO 60CM</t>
  </si>
  <si>
    <t>VÁLVULA DE PASO ANGULAR ½ - DANFOSS</t>
  </si>
  <si>
    <t>FILTRO COLAESCENTE MEDIDAS 86.5 x 24 x 18CM FRICK</t>
  </si>
  <si>
    <t>FILTRO DE ACEITE FRICK RDB 100</t>
  </si>
  <si>
    <t>VISOR DE LÍQUIDO 45CM</t>
  </si>
  <si>
    <t>VISOR DE LÍQUIDO 30CM</t>
  </si>
  <si>
    <t>MICROSWITCH PARKER</t>
  </si>
  <si>
    <t>TANQUE FLOTADOR DE NIVEL PARKER - SIN MICROSWITCH</t>
  </si>
  <si>
    <t>ACOPLE DE MATRIMONIO 9H</t>
  </si>
  <si>
    <t>BUSH INLET XJF 120</t>
  </si>
  <si>
    <t>VÁLVULA DE SEGURIDAD PARKER 200 PSIG</t>
  </si>
  <si>
    <t>EMPAQUE BITZER 8591</t>
  </si>
  <si>
    <t xml:space="preserve">CILINDRO MYCOM B </t>
  </si>
  <si>
    <t>BRAZO DE BIELA MYCOM B</t>
  </si>
  <si>
    <t>PISTONES MYCOM B</t>
  </si>
  <si>
    <t>RING SET MYCOM WBHE CR 0899</t>
  </si>
  <si>
    <t>RING SET MYCOM CR 0899A</t>
  </si>
  <si>
    <t>CHAPAS MYCOM A</t>
  </si>
  <si>
    <t>CHAPAS MYCOM B</t>
  </si>
  <si>
    <t>LT005</t>
  </si>
  <si>
    <t>LT006</t>
  </si>
  <si>
    <t>LT007</t>
  </si>
  <si>
    <t>LT008</t>
  </si>
  <si>
    <t>LT009</t>
  </si>
  <si>
    <t>LT010</t>
  </si>
  <si>
    <t>LT011</t>
  </si>
  <si>
    <t>LT012</t>
  </si>
  <si>
    <t>LT013</t>
  </si>
  <si>
    <t>LT014</t>
  </si>
  <si>
    <t>LT015</t>
  </si>
  <si>
    <t>LT016</t>
  </si>
  <si>
    <t>LT017</t>
  </si>
  <si>
    <t>LT018</t>
  </si>
  <si>
    <t>LT019</t>
  </si>
  <si>
    <t>CILINDRO 450 XL - KT476</t>
  </si>
  <si>
    <t>CILINDRO 440 - KT072</t>
  </si>
  <si>
    <t>MANÓMETRO 4" 0-150PSI</t>
  </si>
  <si>
    <t>MANÓMETRO 4" 0-300PSI</t>
  </si>
  <si>
    <t>MANÓMETRO DE 2½ " 0-300PSI</t>
  </si>
  <si>
    <t>MANÓMETRO 2 ½"  0-150PSI</t>
  </si>
  <si>
    <t>BRAZO DE BIELA 450</t>
  </si>
  <si>
    <t>BRAZO DE BIELA 440 SIN CHAPA</t>
  </si>
  <si>
    <t>BRAZO DE BIELA 440 CON CHAPA</t>
  </si>
  <si>
    <t>FILTRO DE ACEITE 1448C</t>
  </si>
  <si>
    <t>JUEGO DE ANILLOS 31989M/31989N</t>
  </si>
  <si>
    <t>KIT DE EMPAQUE KT049</t>
  </si>
  <si>
    <t>RES3489</t>
  </si>
  <si>
    <t>YOKE OLD STYLE A33577A</t>
  </si>
  <si>
    <t>PLATOS PORTA VÁLVULAS 450</t>
  </si>
  <si>
    <t>ARAÑAS 440</t>
  </si>
  <si>
    <t>PLATOS PORTA VÁLVULA 440 A32695C</t>
  </si>
  <si>
    <t>CHAPAS 440 STD</t>
  </si>
  <si>
    <t>CHAPAS 440 0.30"</t>
  </si>
  <si>
    <t>CHAPAS 440 0.15"</t>
  </si>
  <si>
    <t>CHAPAS 450 0.30"</t>
  </si>
  <si>
    <t>CHAPAS 450 0.15"</t>
  </si>
  <si>
    <t xml:space="preserve">ORING DE CILINDRO </t>
  </si>
  <si>
    <t>SELLO MECÁNICO MYCOM B CR03209-WBHE</t>
  </si>
  <si>
    <t xml:space="preserve">EMPAQUE DE CILINDRO MYCOM B </t>
  </si>
  <si>
    <t>VÁLVULA DE DESCARGA MYCOM B</t>
  </si>
  <si>
    <t>BOMBA DE ACEITE MYCOM B</t>
  </si>
  <si>
    <t>VÁLVULA DE SUCCIÓN MYCOM B</t>
  </si>
  <si>
    <t>VÁLVULA DE DESCARGA MYCOM  ¼</t>
  </si>
  <si>
    <t>VÁLVULA DE DESCARGA MYCOM A</t>
  </si>
  <si>
    <t>SELLO MECÁNICO FRICK TSL193</t>
  </si>
  <si>
    <t>CONNECTING ROD BUSHING MYCOM B</t>
  </si>
  <si>
    <t>SELLO MECÁNICO HANDEN - KS240</t>
  </si>
  <si>
    <t>KIT DE EMPAQUE BITZER TORNILLO 75 HP</t>
  </si>
  <si>
    <t>KIT DE EMPAQUE BITZER TORNILLO 50 HP</t>
  </si>
  <si>
    <t>EMPAQUE MYCOM B</t>
  </si>
  <si>
    <t>STEADY MOUNT - A17311SS</t>
  </si>
  <si>
    <t>VÁLVULA DE EXPANSIÓN PARKER DAE5C</t>
  </si>
  <si>
    <t>PRESOSTATO DUAL DE ALTA Y BAJA</t>
  </si>
  <si>
    <t>PRESOSTATO DIFERENCIAL</t>
  </si>
  <si>
    <t>PRESEOSTATO DE 0-100 PSI</t>
  </si>
  <si>
    <t>VÁLVULA 3 VÍAS PARKER ½</t>
  </si>
  <si>
    <t>VÁLVULA 3 VÍAS PARKER 1¼</t>
  </si>
  <si>
    <t>ENFRIADOR DE ACEITE USADO EN BUEN ESTADO</t>
  </si>
  <si>
    <r>
      <t>CIG</t>
    </r>
    <r>
      <rPr>
        <b/>
        <sz val="11"/>
        <color theme="1"/>
        <rFont val="Aptos Narrow"/>
        <family val="2"/>
      </rPr>
      <t>Ü</t>
    </r>
    <r>
      <rPr>
        <b/>
        <sz val="11"/>
        <color theme="1"/>
        <rFont val="Aptos Narrow"/>
        <family val="2"/>
        <scheme val="minor"/>
      </rPr>
      <t xml:space="preserve">EÑAL 440 </t>
    </r>
  </si>
  <si>
    <t>CIGÜEÑAL 448</t>
  </si>
  <si>
    <t>CIGÜEÑAL 446 NUEVO</t>
  </si>
  <si>
    <t>CIGÜEÑAL 446 USADO</t>
  </si>
  <si>
    <t>CIGÜEÑAL 454</t>
  </si>
  <si>
    <t>CIGÜEÑAL 458</t>
  </si>
  <si>
    <t>BOMBA DE VACÍO 24CFM NUEVO</t>
  </si>
  <si>
    <t>LT020</t>
  </si>
  <si>
    <t>LT021</t>
  </si>
  <si>
    <t>LT022</t>
  </si>
  <si>
    <t>LT023</t>
  </si>
  <si>
    <t>LT024</t>
  </si>
  <si>
    <t>LT025</t>
  </si>
  <si>
    <t>LT026</t>
  </si>
  <si>
    <t>LT027</t>
  </si>
  <si>
    <t>LT028</t>
  </si>
  <si>
    <t>LT029</t>
  </si>
  <si>
    <t>LT030</t>
  </si>
  <si>
    <t>RES8937</t>
  </si>
  <si>
    <t>SEL1373</t>
  </si>
  <si>
    <t>SEL6176</t>
  </si>
  <si>
    <t>HEA6488</t>
  </si>
  <si>
    <t>HEA2534</t>
  </si>
  <si>
    <t>VÁL4920</t>
  </si>
  <si>
    <t>VÁL1516</t>
  </si>
  <si>
    <t>VÁL4347</t>
  </si>
  <si>
    <t>VÁL1133</t>
  </si>
  <si>
    <t>BUL6013</t>
  </si>
  <si>
    <t>PIS2416</t>
  </si>
  <si>
    <t>PIS4916</t>
  </si>
  <si>
    <t>BUJ3137</t>
  </si>
  <si>
    <t>VÁL1793</t>
  </si>
  <si>
    <t>VÁL1047</t>
  </si>
  <si>
    <t>VÁL2135</t>
  </si>
  <si>
    <t>VÁL2116</t>
  </si>
  <si>
    <t>VÁL7780</t>
  </si>
  <si>
    <t>VÁL1290</t>
  </si>
  <si>
    <t>VÁL5505</t>
  </si>
  <si>
    <t>VÁL8742</t>
  </si>
  <si>
    <t>VÁL7999</t>
  </si>
  <si>
    <t>VÁL8812</t>
  </si>
  <si>
    <t>VÁL6136</t>
  </si>
  <si>
    <t>VÁL7353</t>
  </si>
  <si>
    <t>VÁL1035</t>
  </si>
  <si>
    <t>VÁL2619</t>
  </si>
  <si>
    <t>VÁL2164</t>
  </si>
  <si>
    <t>VÁL3111</t>
  </si>
  <si>
    <t>VÁL5468</t>
  </si>
  <si>
    <t>VÁL7851</t>
  </si>
  <si>
    <t>MÓD2898</t>
  </si>
  <si>
    <t>FIL1091</t>
  </si>
  <si>
    <t>FIL3687</t>
  </si>
  <si>
    <t>SUP1700</t>
  </si>
  <si>
    <t>VÁL3699</t>
  </si>
  <si>
    <t>FIL8152</t>
  </si>
  <si>
    <t>FIL3272</t>
  </si>
  <si>
    <t>FIL8211</t>
  </si>
  <si>
    <t>FIL5781</t>
  </si>
  <si>
    <t>FIL4386</t>
  </si>
  <si>
    <t>FIL4638</t>
  </si>
  <si>
    <t>FIL7738</t>
  </si>
  <si>
    <t>FIL3008</t>
  </si>
  <si>
    <t>FIL5405</t>
  </si>
  <si>
    <t>FIL7043</t>
  </si>
  <si>
    <t>KIT2928</t>
  </si>
  <si>
    <t>KIT7079</t>
  </si>
  <si>
    <t>KIT1490</t>
  </si>
  <si>
    <t>VIS4695</t>
  </si>
  <si>
    <t>VIS6344</t>
  </si>
  <si>
    <t>VIS1520</t>
  </si>
  <si>
    <t>MIC8749</t>
  </si>
  <si>
    <t>TAN5109</t>
  </si>
  <si>
    <t>ACO3818</t>
  </si>
  <si>
    <t>BUS5345</t>
  </si>
  <si>
    <t>VÁL2898</t>
  </si>
  <si>
    <t>EMP4942</t>
  </si>
  <si>
    <t>CIL5130</t>
  </si>
  <si>
    <t>BRA7636</t>
  </si>
  <si>
    <t>PIS4612</t>
  </si>
  <si>
    <t>RIN3228</t>
  </si>
  <si>
    <t>RIN7660</t>
  </si>
  <si>
    <t>CHA1878</t>
  </si>
  <si>
    <t>CHA3722</t>
  </si>
  <si>
    <t>CIL5938</t>
  </si>
  <si>
    <t>CIL4471</t>
  </si>
  <si>
    <t>MAN8959</t>
  </si>
  <si>
    <t>MAN7890</t>
  </si>
  <si>
    <t>MAN2397</t>
  </si>
  <si>
    <t>MAN1726</t>
  </si>
  <si>
    <t>BRA2661</t>
  </si>
  <si>
    <t>BRA6806</t>
  </si>
  <si>
    <t>BRA6937</t>
  </si>
  <si>
    <t>FIL4726</t>
  </si>
  <si>
    <t>JUE5470</t>
  </si>
  <si>
    <t>KIT8048</t>
  </si>
  <si>
    <t>YOK2681</t>
  </si>
  <si>
    <t>YOK2989</t>
  </si>
  <si>
    <t>ROD5045</t>
  </si>
  <si>
    <t>PLA2616</t>
  </si>
  <si>
    <t>ARA8900</t>
  </si>
  <si>
    <t>ARA7070</t>
  </si>
  <si>
    <t>PLA5225</t>
  </si>
  <si>
    <t>CHA2955</t>
  </si>
  <si>
    <t>CHA8337</t>
  </si>
  <si>
    <t>CHA4172</t>
  </si>
  <si>
    <t>CHA5740</t>
  </si>
  <si>
    <t>CHA3711</t>
  </si>
  <si>
    <t>CHA4446</t>
  </si>
  <si>
    <t>ORI4378</t>
  </si>
  <si>
    <t>SEL6017</t>
  </si>
  <si>
    <t>EMP4809</t>
  </si>
  <si>
    <t>VÁL4007</t>
  </si>
  <si>
    <t>BOM6907</t>
  </si>
  <si>
    <t>VÁL4401</t>
  </si>
  <si>
    <t>VÁL7414</t>
  </si>
  <si>
    <t>VÁL7029</t>
  </si>
  <si>
    <t>SEL5962</t>
  </si>
  <si>
    <t>CON8262</t>
  </si>
  <si>
    <t>SEL4197</t>
  </si>
  <si>
    <t>KIT2044</t>
  </si>
  <si>
    <t>KIT2848</t>
  </si>
  <si>
    <t>KIT2186</t>
  </si>
  <si>
    <t>EMP2943</t>
  </si>
  <si>
    <t>STE1537</t>
  </si>
  <si>
    <t>VÁL2336</t>
  </si>
  <si>
    <t>PRE6418</t>
  </si>
  <si>
    <t>PRE8431</t>
  </si>
  <si>
    <t>PRE3559</t>
  </si>
  <si>
    <t>VÁL7117</t>
  </si>
  <si>
    <t>VÁL2016</t>
  </si>
  <si>
    <t>ENF7463</t>
  </si>
  <si>
    <t>CIG1861</t>
  </si>
  <si>
    <t>CIG1469</t>
  </si>
  <si>
    <t>CIG8102</t>
  </si>
  <si>
    <t>CIG2684</t>
  </si>
  <si>
    <t>CIG3967</t>
  </si>
  <si>
    <t>CIG7707</t>
  </si>
  <si>
    <t>BOM7416</t>
  </si>
  <si>
    <t>PISTÓN BULÓN ANILLO KT213</t>
  </si>
  <si>
    <t>CHAPAS 450 STD</t>
  </si>
  <si>
    <t>MAIN BEARING MYCOM A</t>
  </si>
  <si>
    <t>MAIN BEARING MYCOM VLD200 TORNILLO</t>
  </si>
  <si>
    <t>KIT TOOL PARA FRICK XTF151 - 534B1126</t>
  </si>
  <si>
    <t>VÁLVULA DE SUCCIÓN ORIGINAL VILTER</t>
  </si>
  <si>
    <t>PLATO DE VÁLVULA COPELAND DISCUS 30HP</t>
  </si>
  <si>
    <t>LT031</t>
  </si>
  <si>
    <t>YOKE NEW STYLE A33575A</t>
  </si>
  <si>
    <t>SAFFETY HEAD ARAÑAS 450</t>
  </si>
  <si>
    <t>PIS3407</t>
  </si>
  <si>
    <t>MAI7266</t>
  </si>
  <si>
    <t>MAI4020</t>
  </si>
  <si>
    <t>KIT5118</t>
  </si>
  <si>
    <t>VÁL1829</t>
  </si>
  <si>
    <t>PLA5297</t>
  </si>
  <si>
    <t xml:space="preserve">MYCOM B 8 CILINDROS EMPAQUE </t>
  </si>
  <si>
    <t>TECLE STON COMPLETO</t>
  </si>
  <si>
    <t>MYC7090</t>
  </si>
  <si>
    <t>TEC2680</t>
  </si>
  <si>
    <t>TL032</t>
  </si>
  <si>
    <t>CONTROL DE INVENTARIO BODEGA</t>
  </si>
  <si>
    <t>COSTO UNITARIO</t>
  </si>
  <si>
    <t>IMPORTE DE INVENTARIO</t>
  </si>
  <si>
    <t xml:space="preserve">EN LAS HOJAS DE ENTRADAS Y SALIDAS DE PRODUCTOS SE TRABAJA MANUALMENTE, SE PONE GUARDAR, AUTOMÁTICAMENTE CAMBIAN LOS VALORES EN LA HOJA PRINCIPAL DE CONTROL DE INVENTARIO </t>
  </si>
  <si>
    <t xml:space="preserve">DESCRIPCIÓN </t>
  </si>
  <si>
    <t>SALIDAS</t>
  </si>
  <si>
    <t xml:space="preserve">PRECIO UNITARIO </t>
  </si>
  <si>
    <t xml:space="preserve">STOCK ACTUAL </t>
  </si>
  <si>
    <t>CONTROL DE INVENTARIO OFICINA</t>
  </si>
  <si>
    <t xml:space="preserve">ENTRADAS DE PRODUCTO OFICINA </t>
  </si>
  <si>
    <t>SALIDAS DE PRODUCTOS OFICINA</t>
  </si>
  <si>
    <t>SET DE EMPAQUE VILTER 8C</t>
  </si>
  <si>
    <t xml:space="preserve">VÁLVULA DE ALIVIO INTERNO VILTER ORIGINAL </t>
  </si>
  <si>
    <t>VÁLVULA DE SUCCIÓN VILTER (PL</t>
  </si>
  <si>
    <t>VÁLVULA DE DESCARGA VILTER 450 XL</t>
  </si>
  <si>
    <t>DIAFRAGMA DE DESCARGA</t>
  </si>
  <si>
    <t>MAIN BEARING MYCOM B</t>
  </si>
  <si>
    <t>ACOPLE DE MATRIMONIO 1</t>
  </si>
  <si>
    <t>FLOTADOR DE NIVEL PARKER COMPLETO</t>
  </si>
  <si>
    <t>VISOR DE LÍQUIDO 30CMS</t>
  </si>
  <si>
    <t>VISOR DE LÍQUIDO 60CMS</t>
  </si>
  <si>
    <t>PISTÓN ORIGINAL OLD STYLE</t>
  </si>
  <si>
    <t>PISTÓN OEN OLD STYLE</t>
  </si>
  <si>
    <t>VÁLVULA DE ALIVIO INTERNO VILTER 300 PSIG</t>
  </si>
  <si>
    <t>RESORTE DE DESCARGA MYCOM B</t>
  </si>
  <si>
    <t>FILTRO FRICK PARTE 950A0020H02</t>
  </si>
  <si>
    <t xml:space="preserve">ARAÑA 450 XL </t>
  </si>
  <si>
    <r>
      <t>VÁLVULAS DE PASO HENRY 1</t>
    </r>
    <r>
      <rPr>
        <sz val="11"/>
        <color theme="1"/>
        <rFont val="Aptos Narrow"/>
        <family val="2"/>
      </rPr>
      <t>¼"</t>
    </r>
  </si>
  <si>
    <t>VÁLVULA ALIVIO INTERNO 250 PSI VILTER</t>
  </si>
  <si>
    <t xml:space="preserve">SOLENOIDE MAGNÉTICA </t>
  </si>
  <si>
    <t>RODAMIENTO G024 - 2Z</t>
  </si>
  <si>
    <t>RODAMIENTO QJ313 MX</t>
  </si>
  <si>
    <t>RODAMIENTO NU214</t>
  </si>
  <si>
    <t>RODAMIENTO S1111</t>
  </si>
  <si>
    <t>RODAMIENTO GG264 2RSH</t>
  </si>
  <si>
    <t>FILTRO SABROE SMC 100</t>
  </si>
  <si>
    <t>MICRO SWITCH FIN DE CARRERA</t>
  </si>
  <si>
    <t>VÁLVULA DANFOSS HOT GAS T6HE / 06TN8311</t>
  </si>
  <si>
    <t>PISTÓN OLD STYLE OGN VILTER</t>
  </si>
  <si>
    <t>CHAPA STD 440 VILTER</t>
  </si>
  <si>
    <t>VÁLVULA CHECK BITZER TORNILLO 75HP</t>
  </si>
  <si>
    <t>CHILL CHECK VILTER TORNILLO 50HP</t>
  </si>
  <si>
    <t>KIT DE EMPAQUE VILTER 044 ORIGINAL</t>
  </si>
  <si>
    <r>
      <t xml:space="preserve">VÁLVULA SOLENOIDE PARKER </t>
    </r>
    <r>
      <rPr>
        <b/>
        <sz val="11"/>
        <color theme="1"/>
        <rFont val="Aptos Narrow"/>
        <family val="2"/>
      </rPr>
      <t>½"</t>
    </r>
  </si>
  <si>
    <t>VÁLVULA DE SEGURIDAD HENRY 200 PSI</t>
  </si>
  <si>
    <t>VÁLVULA DE SEGURIDAD HENRY 250 PSI</t>
  </si>
  <si>
    <t>VÁLVULA SEGURIDAD CYRUS SHANK 150 PSI</t>
  </si>
  <si>
    <t>TERMINAL PLATE BITZER TORNILLO 125HP</t>
  </si>
  <si>
    <t>TERMINAL PLATE BITZER TORNILLO 75HP</t>
  </si>
  <si>
    <t>FILTRO DE ACEITE BITZER TORNILLO HSN/8S</t>
  </si>
  <si>
    <t>FILTRO MYCON TORNILLO 200 USD</t>
  </si>
  <si>
    <r>
      <t xml:space="preserve">VÁLVULA PARKER PARA MANÓMETRO </t>
    </r>
    <r>
      <rPr>
        <b/>
        <sz val="11"/>
        <color theme="1"/>
        <rFont val="Aptos Narrow"/>
        <family val="2"/>
      </rPr>
      <t>¼</t>
    </r>
  </si>
  <si>
    <t>VÁLVULA DANFOSS ANGULAR SUA 2S 1"</t>
  </si>
  <si>
    <r>
      <t xml:space="preserve">VÁLVULA DANFOSS ANGULAR SUA 15 </t>
    </r>
    <r>
      <rPr>
        <b/>
        <sz val="11"/>
        <color theme="1"/>
        <rFont val="Aptos Narrow"/>
        <family val="2"/>
      </rPr>
      <t>½"</t>
    </r>
  </si>
  <si>
    <r>
      <t>VÁLVULA DANFOSS RECTA STE 15</t>
    </r>
    <r>
      <rPr>
        <b/>
        <sz val="11"/>
        <color theme="1"/>
        <rFont val="Aptos Narrow"/>
        <family val="2"/>
        <scheme val="minor"/>
      </rPr>
      <t xml:space="preserve"> </t>
    </r>
    <r>
      <rPr>
        <b/>
        <sz val="11"/>
        <color theme="1"/>
        <rFont val="Aptos Narrow"/>
        <family val="2"/>
      </rPr>
      <t>½</t>
    </r>
  </si>
  <si>
    <t xml:space="preserve">CILINDROS MYCON B </t>
  </si>
  <si>
    <t>CILINDROS VILTER 450 XL</t>
  </si>
  <si>
    <t>CILINDROS VILTER 440</t>
  </si>
  <si>
    <t>PISTÓN Y BULÓN VILTER</t>
  </si>
  <si>
    <t>SELLO MECÁNICO VILTER 440</t>
  </si>
  <si>
    <t>SELLO MECÁNICO VILTER 45O XL</t>
  </si>
  <si>
    <t>KIT DE REPARACÓN BOMBA ACEITE VILTER</t>
  </si>
  <si>
    <t>BRAZO DE BIELA VILTER 450 XL</t>
  </si>
  <si>
    <t>BRAZO DE BIELA VILTER 440</t>
  </si>
  <si>
    <t>YOKE SAFETY HEAD</t>
  </si>
  <si>
    <t>FILTRO DE ACEITE VILTER 1448C</t>
  </si>
  <si>
    <r>
      <t xml:space="preserve">MANÓMETRO SEREFRIND 2 </t>
    </r>
    <r>
      <rPr>
        <b/>
        <sz val="11"/>
        <color theme="1"/>
        <rFont val="Aptos Narrow"/>
        <family val="2"/>
      </rPr>
      <t>½ 150 PSI</t>
    </r>
  </si>
  <si>
    <t xml:space="preserve">MANÓMETRO SEREFRIND 2 ½ 300 PSI </t>
  </si>
  <si>
    <t>MANÓMETRO SEREFRIND 4" 150 PSIG</t>
  </si>
  <si>
    <t>MANÓMETRO SEREFRIND 4" 300 PSIG</t>
  </si>
  <si>
    <t>HEATER VILTER 120 VOLTS</t>
  </si>
  <si>
    <t>RODAMIENTO VILTER 450 XL</t>
  </si>
  <si>
    <t>RODAMIENTO VILTER 440</t>
  </si>
  <si>
    <t>FILTRO DE ACEITE ORIGINAL 1448C</t>
  </si>
  <si>
    <t>FILTRO DE ACEITO NUGENT 1448C</t>
  </si>
  <si>
    <t>SELLO MECÁNICO VILTER 350 ES</t>
  </si>
  <si>
    <t>PLATO PORTA VÁLVULA VILTER 450 XL</t>
  </si>
  <si>
    <t>RING SET VILTER</t>
  </si>
  <si>
    <t>CHAPAS 450 XL STD</t>
  </si>
  <si>
    <t>KIT DE RODAMIENTO FRICK TDSL 193</t>
  </si>
  <si>
    <t>DANFOSS 1CS/15N/ICLX 80 3"</t>
  </si>
  <si>
    <t>ACEITE BITZER 10 LTS</t>
  </si>
  <si>
    <t>BOMBA DE ACEITE VILTER OEN</t>
  </si>
  <si>
    <t>VÁLVULA DE PASO DANFOSS RECTA 4"</t>
  </si>
  <si>
    <t>VÁLVULA DE PASO CASTLE ANGULAR 3"</t>
  </si>
  <si>
    <t>VÁLVULA DE PASO CASTLE ANGULAR 2"</t>
  </si>
  <si>
    <r>
      <t>VÁLVULA DE 30 TIPO Y CASTLE 1</t>
    </r>
    <r>
      <rPr>
        <b/>
        <sz val="11"/>
        <color theme="1"/>
        <rFont val="Aptos Narrow"/>
        <family val="2"/>
      </rPr>
      <t>½</t>
    </r>
  </si>
  <si>
    <t>FILTRO DE PIEDRA DANFOSS D48</t>
  </si>
  <si>
    <t>EMPAQUE BITZER TORNILLO 50HP</t>
  </si>
  <si>
    <t xml:space="preserve">EMPAQUE BITZER TORNILLO 75HP </t>
  </si>
  <si>
    <t>EMPAQUE BITZER TORNILLO 125HP</t>
  </si>
  <si>
    <t>SET DE ÓRING MDE CILINDROS ORIGINAL VILTER</t>
  </si>
  <si>
    <t>IMPORTE                          INVENTARIO</t>
  </si>
  <si>
    <t>ENTRADAS DE PRODUCTOS BODEGA</t>
  </si>
  <si>
    <t>SALIDAS DE PRODUCTOS BODEGA</t>
  </si>
  <si>
    <r>
      <t xml:space="preserve">FILTRO COLADOR DANFOSS SOLDABLE </t>
    </r>
    <r>
      <rPr>
        <b/>
        <sz val="11"/>
        <color theme="1"/>
        <rFont val="Aptos Narrow"/>
        <family val="2"/>
      </rPr>
      <t>½</t>
    </r>
  </si>
  <si>
    <t>PISTÓN ASSENBLY KIT FOR HS8A HANSEN</t>
  </si>
  <si>
    <t>SOLENOID TUBE PLUNGER HIT HANSEN</t>
  </si>
  <si>
    <t xml:space="preserve">BOMBA DE CARGA DE ACEITE MANUAL VILTER </t>
  </si>
  <si>
    <t>KIT COMPLETO DE PISTÓN Y BRAZO DE BIELA VILTER 440</t>
  </si>
  <si>
    <t xml:space="preserve">BRAZO DE BIELA VILTER 440 ORIGINAL </t>
  </si>
  <si>
    <t>SELLO MECÁNICO ORIGINAL VILTER 440</t>
  </si>
  <si>
    <t xml:space="preserve">CHAPA STD MYCOM B ORIGINAL </t>
  </si>
  <si>
    <t>MANÓMETRO VILTER 300 PSIG</t>
  </si>
  <si>
    <t>MANÓMETRO SEREFRIND 300 PSIG</t>
  </si>
  <si>
    <r>
      <t xml:space="preserve">VÁLVULA ANGULAR ROSCABLE </t>
    </r>
    <r>
      <rPr>
        <b/>
        <sz val="11"/>
        <color theme="1"/>
        <rFont val="Aptos Narrow"/>
        <family val="2"/>
        <scheme val="minor"/>
      </rPr>
      <t>1</t>
    </r>
    <r>
      <rPr>
        <b/>
        <sz val="11"/>
        <color theme="1"/>
        <rFont val="Aptos Narrow"/>
        <family val="2"/>
      </rPr>
      <t>¼" HANSEN</t>
    </r>
  </si>
  <si>
    <t>VÁLVULA DANFOSS OFV ¾"</t>
  </si>
  <si>
    <t>VÁLVULA ANGULAR SOLDABLE PARKER 1"</t>
  </si>
  <si>
    <t xml:space="preserve">VÁLVULA DE 3 VÍAS 3 x 4 x ¾" HANSEN </t>
  </si>
  <si>
    <t>PISTÓN DE CAPACIDAD VILTER OLD STYLE</t>
  </si>
  <si>
    <t>BOBINA DANFOSS 100 VOLTS 18 WATTS AKU ONLY</t>
  </si>
  <si>
    <t>BOBINA FRICK 120 VOLTS 9S1A0114 HOS</t>
  </si>
  <si>
    <t>SOLENOIDE DELTA POWER 120 VOLTS</t>
  </si>
  <si>
    <t>SOLENOIDE DELTA POWER 220 VOLTS</t>
  </si>
  <si>
    <t>SOLENOIDE DELTA POWER PEQUEÑA 120 VOLTS</t>
  </si>
  <si>
    <t>SOLENOIDE HANSEN 120 VOLTS</t>
  </si>
  <si>
    <t>SOLENOIDE PARKER 120 VOLTS</t>
  </si>
  <si>
    <t>SOLENOIDE MAYAKAWA COMP. MYCOM B 220 VOLTS</t>
  </si>
  <si>
    <r>
      <t xml:space="preserve">VÁLVULA DE 3 VÍAS </t>
    </r>
    <r>
      <rPr>
        <b/>
        <sz val="11"/>
        <color theme="1"/>
        <rFont val="Aptos Narrow"/>
        <family val="2"/>
      </rPr>
      <t xml:space="preserve">½ x ½ HANSEN </t>
    </r>
  </si>
  <si>
    <t>ELEMENTO TERMOSTÁTICO ALCO AX-3A</t>
  </si>
  <si>
    <t>VÁLVULA EXPANSIÓN NH3 TG IS A2-10A</t>
  </si>
  <si>
    <t>MECHAS DE AZUFRE</t>
  </si>
  <si>
    <t>SELLO MECÁNICO BOMBADUR NH3</t>
  </si>
  <si>
    <t>SELLO MECÁNICO MYCOM I160 EMPACRECI</t>
  </si>
  <si>
    <t>EMPAQUES DE TEFLON PORTA FILTROS D48</t>
  </si>
  <si>
    <t>TERMOSTATO 1MIT TIPO TCZ 1750</t>
  </si>
  <si>
    <t>KIT DE EMPAQUE DANFOSS ICLX50 / CS50</t>
  </si>
  <si>
    <t>KIT DE ORINGS Y EMPAQUES FRICK XSF151</t>
  </si>
  <si>
    <t>VÁLVULA ANGULAR ROSCABLE 1" HANSEN</t>
  </si>
  <si>
    <t>VÁLVULA DE SEGURIDAD HENRY 42X¾" 250 PSI</t>
  </si>
  <si>
    <r>
      <t xml:space="preserve">VÁLVULA DE SEGURIDAD HANSEN </t>
    </r>
    <r>
      <rPr>
        <b/>
        <sz val="11"/>
        <color theme="1"/>
        <rFont val="Aptos Narrow"/>
        <family val="2"/>
      </rPr>
      <t>½ X 1" 250 PSIG</t>
    </r>
  </si>
  <si>
    <t>SENSOR OPTICO DE NIVEL PARKER PNZS1625</t>
  </si>
  <si>
    <r>
      <t xml:space="preserve">FILTRO DE </t>
    </r>
    <r>
      <rPr>
        <b/>
        <sz val="11"/>
        <color theme="1"/>
        <rFont val="Aptos Narrow"/>
        <family val="2"/>
      </rPr>
      <t>½" PARKER PARA SOLENOIDE DE ½</t>
    </r>
  </si>
  <si>
    <t>PILOTO EVM NC</t>
  </si>
  <si>
    <t>BOBINA DANFOSS 220 VOLTS 14 WATTS</t>
  </si>
  <si>
    <t>PILOTO DANFOSS CVE-L 027B 0980</t>
  </si>
  <si>
    <t>CHAPA VILTER ORIGINAL 0.15"</t>
  </si>
  <si>
    <t>VÁLVULA DE SEGURIDAD HANSEN ½ x ¾ 300 PSIG</t>
  </si>
  <si>
    <t>PISTÓN DE CAPACIDAD VILTER NEW STYLE</t>
  </si>
  <si>
    <r>
      <t xml:space="preserve">VÁLVULA DE SEGURIDAD </t>
    </r>
    <r>
      <rPr>
        <b/>
        <sz val="11"/>
        <color theme="1"/>
        <rFont val="Aptos Narrow"/>
        <family val="2"/>
      </rPr>
      <t>½ x ¾ HANSEN 200 PSIG</t>
    </r>
  </si>
  <si>
    <t>PRESOSTATO JOHNSON CONTROLS P70CA - S 500 PSIG</t>
  </si>
  <si>
    <t>PRESOSTATO PEN 100 PSIG P70CA - 64 OPEN HIGH</t>
  </si>
  <si>
    <t>PRESOSTATO PEN 100 PSIG P70GA - 27 OPEN DROP IN PRESSURE</t>
  </si>
  <si>
    <t xml:space="preserve">ORING DE CILINDRO VILTER </t>
  </si>
  <si>
    <t>FILTRO COALESCENT FRICK 86,5 x 24 x 18CMS</t>
  </si>
  <si>
    <t>STEADY MOUNT ORIGINAL VILTER</t>
  </si>
  <si>
    <r>
      <t xml:space="preserve">GALLETA PARA VÁLVULA PARKER </t>
    </r>
    <r>
      <rPr>
        <b/>
        <sz val="11"/>
        <color theme="1"/>
        <rFont val="Aptos Narrow"/>
        <family val="2"/>
      </rPr>
      <t>½</t>
    </r>
    <r>
      <rPr>
        <b/>
        <sz val="11"/>
        <color theme="1"/>
        <rFont val="Aptos Narrow"/>
        <family val="2"/>
        <scheme val="minor"/>
      </rPr>
      <t>"</t>
    </r>
  </si>
  <si>
    <t>BRIDA 1" ¹/₁₂" ORIFICIO</t>
  </si>
  <si>
    <r>
      <t xml:space="preserve">BRIDA </t>
    </r>
    <r>
      <rPr>
        <b/>
        <sz val="11"/>
        <color theme="1"/>
        <rFont val="Aptos Narrow"/>
        <family val="2"/>
      </rPr>
      <t>½ DANFOSS</t>
    </r>
  </si>
  <si>
    <t>SENSOR DE TEMPERATURA MAYAKAWA TR10-C</t>
  </si>
  <si>
    <t>TRANSDUCTOR DE PRESIÓN DANFOSSS AKS33 - 1 - 12 BAR</t>
  </si>
  <si>
    <t>RING PISTÓN DE CAPACIDAD OLD STYLE</t>
  </si>
  <si>
    <t xml:space="preserve">VÁLVULA CHECK NRUA 25/32 </t>
  </si>
  <si>
    <t>RESORTE DE VÁLVULA VILTER</t>
  </si>
  <si>
    <t>TRANSDUCTOR DE PRESIÓN YORK AKS4050 0-200 PSIG</t>
  </si>
  <si>
    <t>TRANSDUCTOR DE PRESIÓN DANFOSS AKS33</t>
  </si>
  <si>
    <t>TRANSDUCTOR DE PRESIÓN JOHNSON C 0-600 PSIA</t>
  </si>
  <si>
    <t>TRANSDUCTOR DE PRESIÓN JOHNSON C 1-200 PSIA</t>
  </si>
  <si>
    <t>PRESOSTATO DIFF. P70AA - 119 120 PSI OPGN L0W</t>
  </si>
  <si>
    <t>VÁLVULA SOLENOIDE PARKER ⅜" SIN BRIDAS NI FILTROS</t>
  </si>
  <si>
    <r>
      <t xml:space="preserve">VÁLVULA SOLENOIDE PARKER </t>
    </r>
    <r>
      <rPr>
        <b/>
        <sz val="11"/>
        <color theme="1"/>
        <rFont val="Aptos Narrow"/>
        <family val="2"/>
      </rPr>
      <t>½" SIN FILTRO NI BRINDAS</t>
    </r>
  </si>
  <si>
    <t>OVERHAL KIT 032F2346 EVRAT 10 EVRAT 10 EVRST 10</t>
  </si>
  <si>
    <t>ANILLOS PTFE TORNILLOS BITZER OSN</t>
  </si>
  <si>
    <t xml:space="preserve">VÁLVULA SOLENOIDE 3 VÍAS PARKER 120 VOLTS / CAPACIDAD VILTER </t>
  </si>
  <si>
    <t>CAPUCHA PARA VÁLVULA SOLENOIDE HANSEN</t>
  </si>
  <si>
    <t>PINES PARA CILINDROS VILTER 440 / 450 XL</t>
  </si>
  <si>
    <t>LT032</t>
  </si>
  <si>
    <t>LT033</t>
  </si>
  <si>
    <t>LT034</t>
  </si>
  <si>
    <t>LT035</t>
  </si>
  <si>
    <t>LT036</t>
  </si>
  <si>
    <t>LT037</t>
  </si>
  <si>
    <t>LT038</t>
  </si>
  <si>
    <t>LT039</t>
  </si>
  <si>
    <t>LT040</t>
  </si>
  <si>
    <t>LT042</t>
  </si>
  <si>
    <t>LT041</t>
  </si>
  <si>
    <t>LT043</t>
  </si>
  <si>
    <t>LT044</t>
  </si>
  <si>
    <t>LT045</t>
  </si>
  <si>
    <t>DIGITAR LA CANTIDAD DE LOS PRODUCTOS QUE VAN DE SALIDA. AUTOMÁTICMANETE AL GUARDAR SE VA CAMBIANDO EL STOCK QUE ESTA EN LA PRIMERA HOJA DE INVENTARIO.</t>
  </si>
  <si>
    <t>AGREGAR LA CANTIDAD DE LOS PRODUCTOS QUE INGRESAN.</t>
  </si>
  <si>
    <t>30/09/25</t>
  </si>
  <si>
    <t>GASKET SET BITZER HS 64</t>
  </si>
  <si>
    <t>GASKET SET BITZER HS 74</t>
  </si>
  <si>
    <t xml:space="preserve">GASKET SET BITZER HS 8551 / 61 / 71 </t>
  </si>
  <si>
    <t>STOP VALVE STAIGHT DN 50</t>
  </si>
  <si>
    <t>STOP VALVE STAIGHT DN 40</t>
  </si>
  <si>
    <t>STOP VALVE STAIGHT DN 25</t>
  </si>
  <si>
    <t>STOP VALVE STAIGHT DN 32</t>
  </si>
  <si>
    <t xml:space="preserve">STOP VALVE STAIGHT DN 15 </t>
  </si>
  <si>
    <t>STOP VALVE ÁNGLE DN 15</t>
  </si>
  <si>
    <t>GAS5323</t>
  </si>
  <si>
    <t>GAS2652</t>
  </si>
  <si>
    <t>GAS3060</t>
  </si>
  <si>
    <t>STO4281</t>
  </si>
  <si>
    <t>STO5650</t>
  </si>
  <si>
    <t>STO3583</t>
  </si>
  <si>
    <t>STO2310</t>
  </si>
  <si>
    <t>STO6232</t>
  </si>
  <si>
    <t>STO1808</t>
  </si>
  <si>
    <t>JAULA POLIAMIDA 7309</t>
  </si>
  <si>
    <t>JAULA POLIAMIDA NU 2211</t>
  </si>
  <si>
    <t>JAULA POLIAMIDA NU 2209</t>
  </si>
  <si>
    <t>JAULA POLIAMIDA 7313</t>
  </si>
  <si>
    <t>JAULA POLIAMIDA 7310</t>
  </si>
  <si>
    <t>JAULA POLIAMIDA UN 2207</t>
  </si>
  <si>
    <t>JAULA POLIAMIDA 7307</t>
  </si>
  <si>
    <t>JAULA POLIAMIDA NU 2208</t>
  </si>
  <si>
    <t>JAULA POLIAMIDA 2307</t>
  </si>
  <si>
    <t>JAULA POLIAMIDA NU 206</t>
  </si>
  <si>
    <t>JAULA POLIAMIDA 7306</t>
  </si>
  <si>
    <t>RODAMIENTO 440</t>
  </si>
  <si>
    <t>RODAMIENTO 450</t>
  </si>
  <si>
    <t>JAU3829</t>
  </si>
  <si>
    <t>JAU6451</t>
  </si>
  <si>
    <t>JAU4399</t>
  </si>
  <si>
    <t>JAU1281</t>
  </si>
  <si>
    <t>JAU1805</t>
  </si>
  <si>
    <t>JAU4165</t>
  </si>
  <si>
    <t>JAU7153</t>
  </si>
  <si>
    <t>JAU3199</t>
  </si>
  <si>
    <t>JAU7663</t>
  </si>
  <si>
    <t>JAU7564</t>
  </si>
  <si>
    <t>JAU4956</t>
  </si>
  <si>
    <t>JAU8041</t>
  </si>
  <si>
    <t>ROD6935</t>
  </si>
  <si>
    <t>JAU3399</t>
  </si>
  <si>
    <t xml:space="preserve">JAULA POLIAMIDA NU 1014 BRONCE </t>
  </si>
  <si>
    <t>JAULA POLIAMIDA NU 1012 BRONCE</t>
  </si>
  <si>
    <t>AKS - 38 DANFOSS</t>
  </si>
  <si>
    <t xml:space="preserve">BEARING SET CONNECTING ROD 0.015" 440 VMC </t>
  </si>
  <si>
    <t>BEARING SET CONNECTING ROD STD 440 VMC</t>
  </si>
  <si>
    <t>CONNECTING ROD WITH BEARING 440 VMV</t>
  </si>
  <si>
    <t>CONNECTING ROOD AND CAP 450 XL</t>
  </si>
  <si>
    <t>CRANKCASE HEATER 115 V</t>
  </si>
  <si>
    <t>CRANKSHAFT 440 VMC 6 CYLINDER</t>
  </si>
  <si>
    <t>CRANKSHAFT 440 VMC 8 CYLINDER</t>
  </si>
  <si>
    <t xml:space="preserve">CRANKSHAFT 450 XL 4 CYLINDER </t>
  </si>
  <si>
    <t>CRANKSHAFT 450 XL 6 CYLINDER</t>
  </si>
  <si>
    <t>CYLINDER LINER KIT (W/UNLOADING) 440 VMC</t>
  </si>
  <si>
    <t>GASKET 160 VLD MYCOM WITH O RING SET</t>
  </si>
  <si>
    <t>GASKET 200 VLD MYCOM WITH O RING SET</t>
  </si>
  <si>
    <t>GASKET KIT</t>
  </si>
  <si>
    <t>OIL PUMP DRIVE FORK CRANKSHAFT FIT VILTER 440</t>
  </si>
  <si>
    <t>OIL PUMP REPAIR KIT</t>
  </si>
  <si>
    <t>PISTON PIN</t>
  </si>
  <si>
    <t>PISTON RINGS AND PIN KIT</t>
  </si>
  <si>
    <t>PLATE SUCTION VALVE</t>
  </si>
  <si>
    <t xml:space="preserve">RING SET PISTON </t>
  </si>
  <si>
    <t>SAFETY HEAD &amp; PINS ASSEMBLY AMMONIA 450 XL</t>
  </si>
  <si>
    <t>SAFETY HEAD AMMONIA 440 VMC</t>
  </si>
  <si>
    <t>SHAFT SEAL &amp; GASKET 3" 450 XL</t>
  </si>
  <si>
    <t>SPRING SAFETY HEAD</t>
  </si>
  <si>
    <t xml:space="preserve">SPRING VALVE </t>
  </si>
  <si>
    <t>SVA - S 100 A STR STOP VALVE H/W PS52</t>
  </si>
  <si>
    <t>SVA - S 150 A STR STOP VALVE H/W PS52</t>
  </si>
  <si>
    <t>SVA - S 80 A STR STOP VALVE H/W PS52</t>
  </si>
  <si>
    <t>VALVE DIAPHRAGM DISCHARGE 440 VMC</t>
  </si>
  <si>
    <t>VILTER STEDY - MOUNT</t>
  </si>
  <si>
    <t>YOKE 440</t>
  </si>
  <si>
    <t>YOKE 450</t>
  </si>
  <si>
    <t>AKS5898</t>
  </si>
  <si>
    <t>BEA4265</t>
  </si>
  <si>
    <t>BEA1377</t>
  </si>
  <si>
    <t>CON4688</t>
  </si>
  <si>
    <t>CON2629</t>
  </si>
  <si>
    <t>CRA2534</t>
  </si>
  <si>
    <t>CRA2508</t>
  </si>
  <si>
    <t>CRA4241</t>
  </si>
  <si>
    <t>CRA1934</t>
  </si>
  <si>
    <t>CRA2858</t>
  </si>
  <si>
    <t>CYL4387</t>
  </si>
  <si>
    <t>GAS2228</t>
  </si>
  <si>
    <t>GAS3233</t>
  </si>
  <si>
    <t>GAS5964</t>
  </si>
  <si>
    <t>OIL5658</t>
  </si>
  <si>
    <t>OIL4865</t>
  </si>
  <si>
    <t>PIS1954</t>
  </si>
  <si>
    <t>PIS2132</t>
  </si>
  <si>
    <t>PLA8908</t>
  </si>
  <si>
    <t>RIN6176</t>
  </si>
  <si>
    <t>SAF5428</t>
  </si>
  <si>
    <t>SAF7021</t>
  </si>
  <si>
    <t>SHA6399</t>
  </si>
  <si>
    <t>SPR6683</t>
  </si>
  <si>
    <t>SPR1476</t>
  </si>
  <si>
    <t>SVA6982</t>
  </si>
  <si>
    <t>SVA7273</t>
  </si>
  <si>
    <t>SVA7240</t>
  </si>
  <si>
    <t>VAL7039</t>
  </si>
  <si>
    <t>VIL6942</t>
  </si>
  <si>
    <t>YOK4924</t>
  </si>
  <si>
    <t>YOK1700</t>
  </si>
  <si>
    <t>QJ 213 - XL - MPA</t>
  </si>
  <si>
    <t>NU 213 - E - XL - TVP2 - C3</t>
  </si>
  <si>
    <t>NU 2312 - E - XL - TUP2</t>
  </si>
  <si>
    <t>7310 BEP</t>
  </si>
  <si>
    <t>NU 2209 - E - XL - TUP2</t>
  </si>
  <si>
    <t>7306 - B - XL - TVP</t>
  </si>
  <si>
    <t>7307 - B - XL - TVP</t>
  </si>
  <si>
    <t>6307 - C3</t>
  </si>
  <si>
    <t>NU 311 - E - XL - TVP2</t>
  </si>
  <si>
    <t>NU 2205 - ECP</t>
  </si>
  <si>
    <t>NU 2306 - ECP/C3</t>
  </si>
  <si>
    <t>NU 208 - E - XL - TVP2</t>
  </si>
  <si>
    <t>NU 211 - E -XL - TVP2</t>
  </si>
  <si>
    <t>NU 307 - E -XL - TVP2</t>
  </si>
  <si>
    <t>NU 206 - E - XL - TVP2</t>
  </si>
  <si>
    <t>NU 2205 - E - XL - TVP2</t>
  </si>
  <si>
    <t>NU 2208 - E - XL - TVP2</t>
  </si>
  <si>
    <t>LT046</t>
  </si>
  <si>
    <t>LT047</t>
  </si>
  <si>
    <t>LT048</t>
  </si>
  <si>
    <t>LT049</t>
  </si>
  <si>
    <t>QJ 7907</t>
  </si>
  <si>
    <t>NU 7509</t>
  </si>
  <si>
    <t>NU 2060</t>
  </si>
  <si>
    <t>7319193</t>
  </si>
  <si>
    <t>NU 8943</t>
  </si>
  <si>
    <t>NU34258</t>
  </si>
  <si>
    <t>NU 6802</t>
  </si>
  <si>
    <t>NU 9933</t>
  </si>
  <si>
    <t>NU 3415</t>
  </si>
  <si>
    <t>NU 7758</t>
  </si>
  <si>
    <t>NU 7791</t>
  </si>
  <si>
    <t>NU 1665</t>
  </si>
  <si>
    <t>7308907</t>
  </si>
  <si>
    <t>NU 8035</t>
  </si>
  <si>
    <t>7309002</t>
  </si>
  <si>
    <t>6302431</t>
  </si>
  <si>
    <t>NU 1770</t>
  </si>
  <si>
    <t>ACE5123</t>
  </si>
  <si>
    <t>ACO7514</t>
  </si>
  <si>
    <t>ANI7706</t>
  </si>
  <si>
    <t>ARA6465</t>
  </si>
  <si>
    <t>BOB1936</t>
  </si>
  <si>
    <t>BOB3629</t>
  </si>
  <si>
    <t>BOB5389</t>
  </si>
  <si>
    <t>BOM2827</t>
  </si>
  <si>
    <t>BOM3408</t>
  </si>
  <si>
    <t>BRA7680</t>
  </si>
  <si>
    <t>BRA2560</t>
  </si>
  <si>
    <t>BRA4736</t>
  </si>
  <si>
    <t>BRI5976</t>
  </si>
  <si>
    <t>BRI6947</t>
  </si>
  <si>
    <t>BUL8270</t>
  </si>
  <si>
    <t>CAP5686</t>
  </si>
  <si>
    <t>CHA3383</t>
  </si>
  <si>
    <t>CHA5833</t>
  </si>
  <si>
    <t>CHA4531</t>
  </si>
  <si>
    <t>CHA6496</t>
  </si>
  <si>
    <t>CHA6699</t>
  </si>
  <si>
    <t>CHI6805</t>
  </si>
  <si>
    <t>CIL1942</t>
  </si>
  <si>
    <t>CIL4475</t>
  </si>
  <si>
    <t>CIL5664</t>
  </si>
  <si>
    <t>DAN7967</t>
  </si>
  <si>
    <t>DIA1783</t>
  </si>
  <si>
    <t>ELE2096</t>
  </si>
  <si>
    <t>EMP7073</t>
  </si>
  <si>
    <t>EMP1288</t>
  </si>
  <si>
    <t>EMP3788</t>
  </si>
  <si>
    <t>EMP5270</t>
  </si>
  <si>
    <t>FIL9176</t>
  </si>
  <si>
    <t>FIL5969</t>
  </si>
  <si>
    <t>FIL9962</t>
  </si>
  <si>
    <t>FIL5261</t>
  </si>
  <si>
    <t>FIL8448</t>
  </si>
  <si>
    <t>FIL7715</t>
  </si>
  <si>
    <t>FIL8099</t>
  </si>
  <si>
    <t>FIL8115</t>
  </si>
  <si>
    <t>FIL9132</t>
  </si>
  <si>
    <t>FIL1754</t>
  </si>
  <si>
    <t>FIL6681</t>
  </si>
  <si>
    <t>FLO5700</t>
  </si>
  <si>
    <t>GAL6337</t>
  </si>
  <si>
    <t>HEA9055</t>
  </si>
  <si>
    <t>KIT4403</t>
  </si>
  <si>
    <t>KIT8009</t>
  </si>
  <si>
    <t>KIT8501</t>
  </si>
  <si>
    <t>KIT9003</t>
  </si>
  <si>
    <t>KIT1391</t>
  </si>
  <si>
    <t>KIT2506</t>
  </si>
  <si>
    <t>MAI6017</t>
  </si>
  <si>
    <t>MAN4059</t>
  </si>
  <si>
    <t>MAN1648</t>
  </si>
  <si>
    <t>MAN8664</t>
  </si>
  <si>
    <t>MAN6763</t>
  </si>
  <si>
    <t>MAN2945</t>
  </si>
  <si>
    <t>MAN7856</t>
  </si>
  <si>
    <t>MEC3236</t>
  </si>
  <si>
    <t>MIC6254</t>
  </si>
  <si>
    <t>ORI2311</t>
  </si>
  <si>
    <t>OVE8677</t>
  </si>
  <si>
    <t>PIL4944</t>
  </si>
  <si>
    <t>PIL2441</t>
  </si>
  <si>
    <t>PIN8393</t>
  </si>
  <si>
    <t>PIS9859</t>
  </si>
  <si>
    <t>PIS2752</t>
  </si>
  <si>
    <t>PIS2177</t>
  </si>
  <si>
    <t>PIS4822</t>
  </si>
  <si>
    <t>PIS1721</t>
  </si>
  <si>
    <t>PIS3967</t>
  </si>
  <si>
    <t>PIS9137</t>
  </si>
  <si>
    <t>PIS4997</t>
  </si>
  <si>
    <t>PLA9956</t>
  </si>
  <si>
    <t>PRE6245</t>
  </si>
  <si>
    <t>PRE6847</t>
  </si>
  <si>
    <t>PRE4682</t>
  </si>
  <si>
    <t>PRE9623</t>
  </si>
  <si>
    <t>RES4728</t>
  </si>
  <si>
    <t>RES1872</t>
  </si>
  <si>
    <t>RIN7845</t>
  </si>
  <si>
    <t>RIN1325</t>
  </si>
  <si>
    <t>ROD1091</t>
  </si>
  <si>
    <t>ROD1141</t>
  </si>
  <si>
    <t>ROD1048</t>
  </si>
  <si>
    <t>ROD9993</t>
  </si>
  <si>
    <t>ROD9771</t>
  </si>
  <si>
    <t>ROD4829</t>
  </si>
  <si>
    <t>ROD4993</t>
  </si>
  <si>
    <t>SEL8721</t>
  </si>
  <si>
    <t>SEL8071</t>
  </si>
  <si>
    <t>SEL1230</t>
  </si>
  <si>
    <t>SEL7103</t>
  </si>
  <si>
    <t>SEL2965</t>
  </si>
  <si>
    <t>SEL1422</t>
  </si>
  <si>
    <t>SEN4608</t>
  </si>
  <si>
    <t>SEN2809</t>
  </si>
  <si>
    <t>SET2761</t>
  </si>
  <si>
    <t>SET9709</t>
  </si>
  <si>
    <t>SOL5569</t>
  </si>
  <si>
    <t>SOL3471</t>
  </si>
  <si>
    <t>SOL4410</t>
  </si>
  <si>
    <t>SOL3006</t>
  </si>
  <si>
    <t>SOL7491</t>
  </si>
  <si>
    <t>SOL5958</t>
  </si>
  <si>
    <t>SOL2985</t>
  </si>
  <si>
    <t>SOL4844</t>
  </si>
  <si>
    <t>STE6804</t>
  </si>
  <si>
    <t>TER9157</t>
  </si>
  <si>
    <t>TER5038</t>
  </si>
  <si>
    <t>TER3134</t>
  </si>
  <si>
    <t>TRA4867</t>
  </si>
  <si>
    <t>TRA7918</t>
  </si>
  <si>
    <t>TRA7300</t>
  </si>
  <si>
    <t>TRA1422</t>
  </si>
  <si>
    <t>TRA3928</t>
  </si>
  <si>
    <t>VÁL9217</t>
  </si>
  <si>
    <t>VÁL7259</t>
  </si>
  <si>
    <t>VÁL1288</t>
  </si>
  <si>
    <t>VÁL9917</t>
  </si>
  <si>
    <t>VÁL1422</t>
  </si>
  <si>
    <t>VÁL5808</t>
  </si>
  <si>
    <t>VÁL3119</t>
  </si>
  <si>
    <t>VÁL4969</t>
  </si>
  <si>
    <t>VÁL1668</t>
  </si>
  <si>
    <t>VÁL8924</t>
  </si>
  <si>
    <t>VÁL3416</t>
  </si>
  <si>
    <t>VÁL1825</t>
  </si>
  <si>
    <t>VÁL3394</t>
  </si>
  <si>
    <t>VÁL9490</t>
  </si>
  <si>
    <t>VÁL3210</t>
  </si>
  <si>
    <t>VÁL7575</t>
  </si>
  <si>
    <t>VÁL3944</t>
  </si>
  <si>
    <t>VÁL9383</t>
  </si>
  <si>
    <t>VÁL4242</t>
  </si>
  <si>
    <t>VÁL7251</t>
  </si>
  <si>
    <t>VÁL8591</t>
  </si>
  <si>
    <t>VÁL9248</t>
  </si>
  <si>
    <t>VÁL8989</t>
  </si>
  <si>
    <t>VÁL3977</t>
  </si>
  <si>
    <t>VÁL3478</t>
  </si>
  <si>
    <t>VÁL2435</t>
  </si>
  <si>
    <t>VÁL5785</t>
  </si>
  <si>
    <t>VÁL6685</t>
  </si>
  <si>
    <t>VÁL2330</t>
  </si>
  <si>
    <t>VÁL2439</t>
  </si>
  <si>
    <t>VÁL3581</t>
  </si>
  <si>
    <t>VÁL2471</t>
  </si>
  <si>
    <t>VÁL8394</t>
  </si>
  <si>
    <t>VÁL4732</t>
  </si>
  <si>
    <t>VÁL9298</t>
  </si>
  <si>
    <t>VIS5944</t>
  </si>
  <si>
    <t>VIS2863</t>
  </si>
  <si>
    <t>YOK2993</t>
  </si>
  <si>
    <t>BOMBA DE ACEITE ORIGINAL VILTER</t>
  </si>
  <si>
    <t>BOM5369</t>
  </si>
  <si>
    <t>14/10/2025</t>
  </si>
  <si>
    <t>22/10/2025</t>
  </si>
  <si>
    <t>16/10/2025</t>
  </si>
  <si>
    <t>23/10/2025</t>
  </si>
  <si>
    <t>14/10/2035</t>
  </si>
  <si>
    <t>30/10/2025</t>
  </si>
  <si>
    <t>KIT DE EMPAQUE BITZER TORNILLO 125 HP</t>
  </si>
  <si>
    <t>14/11/2025</t>
  </si>
  <si>
    <t>24/11/2025</t>
  </si>
  <si>
    <t>18/11/2034</t>
  </si>
  <si>
    <t>27/11/2025</t>
  </si>
  <si>
    <t>28/11/2025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</si>
</sst>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C\-000\-000"/>
    <numFmt numFmtId="165" formatCode="\F\V\-000\-000"/>
    <numFmt numFmtId="166" formatCode="_-[$$-409]* #,##0.00_ ;_-[$$-409]* \-#,##0.00\ ;_-[$$-409]* &quot;-&quot;??_ ;_-@_ "/>
  </numFmts>
  <fonts count="7" x14ac:knownFonts="1">
    <font>
      <sz val="11"/>
      <color theme="1"/>
      <name val="Aptos Narrow"/>
      <family val="2"/>
      <scheme val="minor"/>
    </font>
    <font>
      <b/>
      <sz val="11"/>
      <color theme="1"/>
      <name val="Aptos Narrow"/>
      <family val="2"/>
      <scheme val="minor"/>
    </font>
    <font>
      <b/>
      <sz val="20"/>
      <color theme="1"/>
      <name val="Aptos Narrow"/>
      <family val="2"/>
      <scheme val="minor"/>
    </font>
    <font>
      <b/>
      <sz val="11"/>
      <color theme="1"/>
      <name val="Aptos Narrow"/>
      <family val="2"/>
    </font>
    <font>
      <b/>
      <sz val="11"/>
      <color rgb="FFFF0000"/>
      <name val="Aptos Narrow"/>
      <family val="2"/>
      <scheme val="minor"/>
    </font>
    <font>
      <sz val="11"/>
      <color theme="1"/>
      <name val="Aptos Narrow"/>
      <family val="2"/>
    </font>
    <font>
      <sz val="8"/>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xf numFmtId="164" fontId="1" fillId="0" borderId="0" xfId="0" applyNumberFormat="1" applyFont="1"/>
    <xf numFmtId="14" fontId="1" fillId="0" borderId="0" xfId="0" applyNumberFormat="1" applyFont="1"/>
    <xf numFmtId="165" fontId="1" fillId="0" borderId="0" xfId="0" applyNumberFormat="1" applyFont="1"/>
    <xf numFmtId="0" fontId="1" fillId="2" borderId="0" xfId="0" applyFont="1" applyFill="1"/>
    <xf numFmtId="0" fontId="1" fillId="2" borderId="0" xfId="0" applyFont="1" applyFill="1" applyAlignment="1">
      <alignment horizontal="center" vertical="center" wrapText="1"/>
    </xf>
    <xf numFmtId="166" fontId="1" fillId="2" borderId="0" xfId="0" applyNumberFormat="1" applyFont="1" applyFill="1" applyAlignment="1">
      <alignment horizontal="center" vertical="center" wrapText="1"/>
    </xf>
    <xf numFmtId="0" fontId="4" fillId="0" borderId="0" xfId="0" applyFont="1"/>
    <xf numFmtId="0" fontId="0" fillId="0" borderId="0" xfId="0" applyAlignment="1">
      <alignment horizontal="center" vertical="center" wrapText="1"/>
    </xf>
    <xf numFmtId="0" fontId="1" fillId="0" borderId="0" xfId="0" applyFont="1" applyAlignment="1">
      <alignment horizontal="left"/>
    </xf>
    <xf numFmtId="165" fontId="0" fillId="0" borderId="0" xfId="0" applyNumberFormat="1"/>
    <xf numFmtId="166" fontId="1" fillId="2" borderId="0" xfId="0" applyNumberFormat="1" applyFont="1" applyFill="1"/>
    <xf numFmtId="0" fontId="0" fillId="2" borderId="0" xfId="0" applyFill="1"/>
    <xf numFmtId="0" fontId="0" fillId="0" borderId="0" xfId="0" applyAlignment="1">
      <alignment vertical="center"/>
    </xf>
    <xf numFmtId="12" fontId="1" fillId="0" borderId="0" xfId="0" applyNumberFormat="1" applyFont="1" applyAlignment="1">
      <alignment horizontal="left" vertical="center" wrapText="1"/>
    </xf>
    <xf numFmtId="0" fontId="1" fillId="2" borderId="0" xfId="0" applyFont="1" applyFill="1" applyAlignment="1">
      <alignment horizontal="left" vertical="center" wrapText="1"/>
    </xf>
    <xf numFmtId="0" fontId="1" fillId="4" borderId="0" xfId="0" applyFont="1" applyFill="1"/>
    <xf numFmtId="0" fontId="0" fillId="4" borderId="0" xfId="0" applyFill="1"/>
    <xf numFmtId="14" fontId="1" fillId="0" borderId="0" xfId="0" applyNumberFormat="1" applyFont="1" applyAlignment="1">
      <alignment horizontal="right"/>
    </xf>
    <xf numFmtId="0" fontId="1" fillId="3" borderId="0" xfId="0" applyFont="1" applyFill="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1" fillId="3" borderId="0" xfId="0" applyFont="1" applyFill="1" applyAlignment="1">
      <alignment horizontal="center" wrapText="1"/>
    </xf>
    <xf numFmtId="0" fontId="1" fillId="3" borderId="0" xfId="0" applyFont="1" applyFill="1" applyAlignment="1">
      <alignment horizontal="center" vertical="center" wrapText="1"/>
    </xf>
    <xf numFmtId="0" fontId="1" fillId="0" borderId="0" xfId="0" applyFont="1" applyAlignment="1">
      <alignment horizontal="right" vertical="center" wrapText="1"/>
    </xf>
    <xf numFmtId="0" fontId="0" fillId="0" borderId="0" xfId="0" applyAlignment="1">
      <alignment horizontal="right"/>
    </xf>
    <xf numFmtId="14" fontId="0" fillId="0" borderId="0" xfId="0" applyNumberFormat="1" applyAlignment="1">
      <alignment horizontal="right"/>
    </xf>
  </cellXfs>
  <cellStyles count="1">
    <cellStyle name="Normal" xfId="0" builtinId="0"/>
  </cellStyles>
  <dxfs count="56">
    <dxf>
      <alignment horizontal="right" textRotation="0" indent="0" justifyLastLine="0" shrinkToFit="0" readingOrder="0"/>
    </dxf>
    <dxf>
      <numFmt numFmtId="165" formatCode="\F\V\-000\-000"/>
    </dxf>
    <dxf>
      <font>
        <b/>
      </font>
      <numFmt numFmtId="167" formatCode="dd/mm/yyyy"/>
      <alignment horizontal="right" textRotation="0" indent="0" justifyLastLine="0" shrinkToFit="0" readingOrder="0"/>
    </dxf>
    <dxf>
      <font>
        <b/>
      </font>
      <fill>
        <patternFill patternType="solid">
          <fgColor indexed="64"/>
          <bgColor theme="3" tint="0.749992370372631"/>
        </patternFill>
      </fill>
    </dxf>
    <dxf>
      <font>
        <b/>
      </font>
      <numFmt numFmtId="165" formatCode="\F\V\-000\-000"/>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fill>
        <patternFill patternType="solid">
          <fgColor indexed="64"/>
          <bgColor theme="3" tint="0.749992370372631"/>
        </patternFill>
      </fill>
    </dxf>
    <dxf>
      <numFmt numFmtId="0" formatCode="General"/>
      <fill>
        <patternFill patternType="solid">
          <fgColor indexed="64"/>
          <bgColor theme="3" tint="0.749992370372631"/>
        </patternFill>
      </fill>
    </dxf>
    <dxf>
      <fill>
        <patternFill patternType="solid">
          <fgColor indexed="64"/>
          <bgColor theme="3" tint="0.749992370372631"/>
        </patternFill>
      </fill>
    </dxf>
    <dxf>
      <numFmt numFmtId="164" formatCode="\F\C\-000\-00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166" formatCode="_-[$$-409]* #,##0.00_ ;_-[$$-409]* \-#,##0.00\ ;_-[$$-409]* &quot;-&quot;??_ ;_-@_ "/>
      <fill>
        <patternFill patternType="solid">
          <fgColor indexed="64"/>
          <bgColor theme="3" tint="0.74999237037263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general" vertical="center" textRotation="0" wrapText="0" indent="0" justifyLastLine="0" shrinkToFit="0" readingOrder="0"/>
    </dxf>
    <dxf>
      <fill>
        <patternFill>
          <fgColor indexed="64"/>
          <bgColor theme="0"/>
        </patternFill>
      </fill>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0" indent="0" justifyLastLine="0" shrinkToFit="0" readingOrder="0"/>
    </dxf>
    <dxf>
      <numFmt numFmtId="0" formatCode="General"/>
    </dxf>
    <dxf>
      <alignmen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font>
    </dxf>
    <dxf>
      <font>
        <b/>
      </font>
      <numFmt numFmtId="0" formatCode="General"/>
      <fill>
        <patternFill patternType="solid">
          <fgColor indexed="64"/>
          <bgColor theme="3" tint="0.749992370372631"/>
        </patternFill>
      </fill>
    </dxf>
    <dxf>
      <font>
        <b/>
      </font>
      <numFmt numFmtId="0" formatCode="General"/>
      <fill>
        <patternFill patternType="solid">
          <fgColor indexed="64"/>
          <bgColor theme="3" tint="0.749992370372631"/>
        </patternFill>
      </fill>
    </dxf>
    <dxf>
      <font>
        <b/>
      </font>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font>
    </dxf>
    <dxf>
      <font>
        <b/>
      </font>
      <numFmt numFmtId="0" formatCode="General"/>
      <fill>
        <patternFill patternType="solid">
          <fgColor indexed="64"/>
          <bgColor theme="3" tint="0.749992370372631"/>
        </patternFill>
      </fill>
    </dxf>
    <dxf>
      <font>
        <b/>
      </font>
      <numFmt numFmtId="0" formatCode="General"/>
      <fill>
        <patternFill patternType="solid">
          <fgColor indexed="64"/>
          <bgColor theme="3" tint="0.749992370372631"/>
        </patternFill>
      </fill>
    </dxf>
    <dxf>
      <font>
        <b/>
      </font>
      <fill>
        <patternFill patternType="solid">
          <fgColor indexed="64"/>
          <bgColor theme="3" tint="0.749992370372631"/>
        </patternFill>
      </fill>
    </dxf>
    <dxf>
      <font>
        <b/>
      </font>
      <numFmt numFmtId="167" formatCode="dd/mm/yyyy"/>
    </dxf>
    <dxf>
      <font>
        <b/>
      </font>
      <numFmt numFmtId="164" formatCode="\F\C\-000\-000"/>
    </dxf>
    <dxf>
      <font>
        <b/>
      </font>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166" formatCode="_-[$$-409]* #,##0.00_ ;_-[$$-409]* \-#,##0.00\ ;_-[$$-409]* &quot;-&quot;??_ ;_-@_ "/>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166" formatCode="_-[$$-409]* #,##0.00_ ;_-[$$-409]* \-#,##0.00\ ;_-[$$-409]* &quot;-&quot;??_ ;_-@_ "/>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theme="3" tint="0.749992370372631"/>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0AE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SALIDASBO!A1"/><Relationship Id="rId1" Type="http://schemas.openxmlformats.org/officeDocument/2006/relationships/hyperlink" Target="#ENTRADASBO!A1"/></Relationships>
</file>

<file path=xl/drawings/_rels/drawing2.xml.rels><?xml version="1.0" encoding="UTF-8" standalone="yes"?>
<Relationships xmlns="http://schemas.openxmlformats.org/package/2006/relationships"><Relationship Id="rId2" Type="http://schemas.openxmlformats.org/officeDocument/2006/relationships/hyperlink" Target="#SALIDASBO!A1"/><Relationship Id="rId1" Type="http://schemas.openxmlformats.org/officeDocument/2006/relationships/hyperlink" Target="#' INVENTARIOBODEGA'!A1"/></Relationships>
</file>

<file path=xl/drawings/_rels/drawing3.xml.rels><?xml version="1.0" encoding="UTF-8" standalone="yes"?>
<Relationships xmlns="http://schemas.openxmlformats.org/package/2006/relationships"><Relationship Id="rId2" Type="http://schemas.openxmlformats.org/officeDocument/2006/relationships/hyperlink" Target="#ENTRADASBO!A1"/><Relationship Id="rId1" Type="http://schemas.openxmlformats.org/officeDocument/2006/relationships/hyperlink" Target="#' INVENTARIOBODEGA'!A1"/></Relationships>
</file>

<file path=xl/drawings/_rels/drawing4.xml.rels><?xml version="1.0" encoding="UTF-8" standalone="yes"?>
<Relationships xmlns="http://schemas.openxmlformats.org/package/2006/relationships"><Relationship Id="rId2" Type="http://schemas.openxmlformats.org/officeDocument/2006/relationships/hyperlink" Target="#SALIDASOF!A1"/><Relationship Id="rId1" Type="http://schemas.openxmlformats.org/officeDocument/2006/relationships/hyperlink" Target="#ENTRADASOF!A1"/></Relationships>
</file>

<file path=xl/drawings/_rels/drawing5.xml.rels><?xml version="1.0" encoding="UTF-8" standalone="yes"?>
<Relationships xmlns="http://schemas.openxmlformats.org/package/2006/relationships"><Relationship Id="rId2" Type="http://schemas.openxmlformats.org/officeDocument/2006/relationships/hyperlink" Target="#SALIDASOF!A1"/><Relationship Id="rId1" Type="http://schemas.openxmlformats.org/officeDocument/2006/relationships/hyperlink" Target="#INVENTARIOOFICINA!A1"/></Relationships>
</file>

<file path=xl/drawings/_rels/drawing6.xml.rels><?xml version="1.0" encoding="UTF-8" standalone="yes"?>
<Relationships xmlns="http://schemas.openxmlformats.org/package/2006/relationships"><Relationship Id="rId2" Type="http://schemas.openxmlformats.org/officeDocument/2006/relationships/hyperlink" Target="#ENTRADASOF!A1"/><Relationship Id="rId1" Type="http://schemas.openxmlformats.org/officeDocument/2006/relationships/hyperlink" Target="#INVENTARIOOFICINA!A1"/></Relationships>
</file>

<file path=xl/drawings/drawing1.xml><?xml version="1.0" encoding="utf-8"?>
<xdr:wsDr xmlns:xdr="http://schemas.openxmlformats.org/drawingml/2006/spreadsheetDrawing" xmlns:a="http://schemas.openxmlformats.org/drawingml/2006/main">
  <xdr:twoCellAnchor>
    <xdr:from>
      <xdr:col>8</xdr:col>
      <xdr:colOff>9526</xdr:colOff>
      <xdr:row>2</xdr:row>
      <xdr:rowOff>0</xdr:rowOff>
    </xdr:from>
    <xdr:to>
      <xdr:col>8</xdr:col>
      <xdr:colOff>1228725</xdr:colOff>
      <xdr:row>2</xdr:row>
      <xdr:rowOff>285750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6F4121F1-6084-4B90-B86F-DDB4877DBD91}"/>
            </a:ext>
          </a:extLst>
        </xdr:cNvPr>
        <xdr:cNvSpPr/>
      </xdr:nvSpPr>
      <xdr:spPr>
        <a:xfrm>
          <a:off x="12115801" y="581025"/>
          <a:ext cx="1219199" cy="285750"/>
        </a:xfrm>
        <a:prstGeom prst="roundRect">
          <a:avLst/>
        </a:prstGeom>
        <a:solidFill>
          <a:srgbClr val="0AEC25"/>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ENTRADAS</a:t>
          </a:r>
        </a:p>
      </xdr:txBody>
    </xdr:sp>
    <xdr:clientData/>
  </xdr:twoCellAnchor>
  <xdr:twoCellAnchor>
    <xdr:from>
      <xdr:col>8</xdr:col>
      <xdr:colOff>9526</xdr:colOff>
      <xdr:row>2</xdr:row>
      <xdr:rowOff>323850</xdr:rowOff>
    </xdr:from>
    <xdr:to>
      <xdr:col>8</xdr:col>
      <xdr:colOff>1228725</xdr:colOff>
      <xdr:row>2</xdr:row>
      <xdr:rowOff>609600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493905CB-AB65-4A16-BBAE-76836D02C4B6}"/>
            </a:ext>
          </a:extLst>
        </xdr:cNvPr>
        <xdr:cNvSpPr/>
      </xdr:nvSpPr>
      <xdr:spPr>
        <a:xfrm>
          <a:off x="12115801" y="904875"/>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SALIDAS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2</xdr:row>
      <xdr:rowOff>19050</xdr:rowOff>
    </xdr:from>
    <xdr:to>
      <xdr:col>6</xdr:col>
      <xdr:colOff>1247774</xdr:colOff>
      <xdr:row>2</xdr:row>
      <xdr:rowOff>304800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3FD4EEDF-29DE-43DA-AD98-3380EA50BBF5}"/>
            </a:ext>
          </a:extLst>
        </xdr:cNvPr>
        <xdr:cNvSpPr/>
      </xdr:nvSpPr>
      <xdr:spPr>
        <a:xfrm>
          <a:off x="9886950" y="733425"/>
          <a:ext cx="1219199" cy="285750"/>
        </a:xfrm>
        <a:prstGeom prst="round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cap="none" spc="0">
              <a:ln w="0"/>
              <a:solidFill>
                <a:schemeClr val="tx1"/>
              </a:solidFill>
              <a:effectLst>
                <a:outerShdw blurRad="38100" dist="19050" dir="2700000" algn="tl" rotWithShape="0">
                  <a:schemeClr val="dk1">
                    <a:alpha val="40000"/>
                  </a:schemeClr>
                </a:outerShdw>
              </a:effectLst>
            </a:rPr>
            <a:t>INVENTARIOBO</a:t>
          </a:r>
        </a:p>
        <a:p>
          <a:pPr algn="ctr"/>
          <a:endParaRPr lang="en-US" sz="1100" b="0" cap="none" spc="0">
            <a:ln w="0"/>
            <a:solidFill>
              <a:schemeClr val="tx1"/>
            </a:solidFill>
            <a:effectLst>
              <a:outerShdw blurRad="38100" dist="19050" dir="2700000" algn="tl" rotWithShape="0">
                <a:schemeClr val="dk1">
                  <a:alpha val="40000"/>
                </a:schemeClr>
              </a:outerShdw>
            </a:effectLst>
          </a:endParaRPr>
        </a:p>
        <a:p>
          <a:pPr algn="ct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19050</xdr:colOff>
      <xdr:row>2</xdr:row>
      <xdr:rowOff>333375</xdr:rowOff>
    </xdr:from>
    <xdr:to>
      <xdr:col>6</xdr:col>
      <xdr:colOff>1238249</xdr:colOff>
      <xdr:row>2</xdr:row>
      <xdr:rowOff>619125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0E842292-E0D9-427F-B088-9E3914924B51}"/>
            </a:ext>
          </a:extLst>
        </xdr:cNvPr>
        <xdr:cNvSpPr/>
      </xdr:nvSpPr>
      <xdr:spPr>
        <a:xfrm>
          <a:off x="9877425" y="1047750"/>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SALIDAS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xdr:colOff>
      <xdr:row>2</xdr:row>
      <xdr:rowOff>19050</xdr:rowOff>
    </xdr:from>
    <xdr:to>
      <xdr:col>6</xdr:col>
      <xdr:colOff>1228724</xdr:colOff>
      <xdr:row>2</xdr:row>
      <xdr:rowOff>304800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4A9CB7F-767D-474D-A2BB-A3B6DC68D423}"/>
            </a:ext>
          </a:extLst>
        </xdr:cNvPr>
        <xdr:cNvSpPr/>
      </xdr:nvSpPr>
      <xdr:spPr>
        <a:xfrm>
          <a:off x="9867900" y="733425"/>
          <a:ext cx="1219199" cy="285750"/>
        </a:xfrm>
        <a:prstGeom prst="round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cap="none" spc="0">
              <a:ln w="0"/>
              <a:solidFill>
                <a:schemeClr val="tx1"/>
              </a:solidFill>
              <a:effectLst>
                <a:outerShdw blurRad="38100" dist="19050" dir="2700000" algn="tl" rotWithShape="0">
                  <a:schemeClr val="dk1">
                    <a:alpha val="40000"/>
                  </a:schemeClr>
                </a:outerShdw>
              </a:effectLst>
            </a:rPr>
            <a:t>INVENTARIOBO</a:t>
          </a:r>
        </a:p>
      </xdr:txBody>
    </xdr:sp>
    <xdr:clientData/>
  </xdr:twoCellAnchor>
  <xdr:twoCellAnchor>
    <xdr:from>
      <xdr:col>6</xdr:col>
      <xdr:colOff>19050</xdr:colOff>
      <xdr:row>2</xdr:row>
      <xdr:rowOff>333375</xdr:rowOff>
    </xdr:from>
    <xdr:to>
      <xdr:col>6</xdr:col>
      <xdr:colOff>1238249</xdr:colOff>
      <xdr:row>2</xdr:row>
      <xdr:rowOff>619125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DBF8FBC2-1BC4-4C97-AA7F-35434A2176B1}"/>
            </a:ext>
          </a:extLst>
        </xdr:cNvPr>
        <xdr:cNvSpPr/>
      </xdr:nvSpPr>
      <xdr:spPr>
        <a:xfrm>
          <a:off x="9877425" y="1047750"/>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ENTRADAS</a:t>
          </a:r>
        </a:p>
        <a:p>
          <a:pPr algn="ct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9526</xdr:colOff>
      <xdr:row>2</xdr:row>
      <xdr:rowOff>0</xdr:rowOff>
    </xdr:from>
    <xdr:to>
      <xdr:col>8</xdr:col>
      <xdr:colOff>1228725</xdr:colOff>
      <xdr:row>2</xdr:row>
      <xdr:rowOff>285750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72F2EB18-067F-DEEC-BA34-83B8DD03446D}"/>
            </a:ext>
          </a:extLst>
        </xdr:cNvPr>
        <xdr:cNvSpPr/>
      </xdr:nvSpPr>
      <xdr:spPr>
        <a:xfrm>
          <a:off x="12115801" y="581025"/>
          <a:ext cx="1219199" cy="285750"/>
        </a:xfrm>
        <a:prstGeom prst="roundRect">
          <a:avLst/>
        </a:prstGeom>
        <a:solidFill>
          <a:srgbClr val="0AEC25"/>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ENTRADAS</a:t>
          </a:r>
        </a:p>
      </xdr:txBody>
    </xdr:sp>
    <xdr:clientData/>
  </xdr:twoCellAnchor>
  <xdr:twoCellAnchor>
    <xdr:from>
      <xdr:col>8</xdr:col>
      <xdr:colOff>9526</xdr:colOff>
      <xdr:row>2</xdr:row>
      <xdr:rowOff>323850</xdr:rowOff>
    </xdr:from>
    <xdr:to>
      <xdr:col>8</xdr:col>
      <xdr:colOff>1228725</xdr:colOff>
      <xdr:row>2</xdr:row>
      <xdr:rowOff>609600</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C1406F55-5ED6-4C49-A455-BFD58C3ACE60}"/>
            </a:ext>
          </a:extLst>
        </xdr:cNvPr>
        <xdr:cNvSpPr/>
      </xdr:nvSpPr>
      <xdr:spPr>
        <a:xfrm>
          <a:off x="12115801" y="904875"/>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SALIDAS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28575</xdr:colOff>
      <xdr:row>2</xdr:row>
      <xdr:rowOff>19050</xdr:rowOff>
    </xdr:from>
    <xdr:to>
      <xdr:col>6</xdr:col>
      <xdr:colOff>1247774</xdr:colOff>
      <xdr:row>2</xdr:row>
      <xdr:rowOff>304800</xdr:rowOff>
    </xdr:to>
    <xdr:sp macro="" textlink="">
      <xdr:nvSpPr>
        <xdr:cNvPr id="5" name="Rectángulo: esquinas redondeadas 4">
          <a:hlinkClick xmlns:r="http://schemas.openxmlformats.org/officeDocument/2006/relationships" r:id="rId1"/>
          <a:extLst>
            <a:ext uri="{FF2B5EF4-FFF2-40B4-BE49-F238E27FC236}">
              <a16:creationId xmlns:a16="http://schemas.microsoft.com/office/drawing/2014/main" id="{FFA41679-3BD6-4F6D-B340-8D414EA8CDF8}"/>
            </a:ext>
          </a:extLst>
        </xdr:cNvPr>
        <xdr:cNvSpPr/>
      </xdr:nvSpPr>
      <xdr:spPr>
        <a:xfrm>
          <a:off x="9886950" y="733425"/>
          <a:ext cx="1219199" cy="285750"/>
        </a:xfrm>
        <a:prstGeom prst="round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cap="none" spc="0">
              <a:ln w="0"/>
              <a:solidFill>
                <a:schemeClr val="tx1"/>
              </a:solidFill>
              <a:effectLst>
                <a:outerShdw blurRad="38100" dist="19050" dir="2700000" algn="tl" rotWithShape="0">
                  <a:schemeClr val="dk1">
                    <a:alpha val="40000"/>
                  </a:schemeClr>
                </a:outerShdw>
              </a:effectLst>
            </a:rPr>
            <a:t>INVENTARIOOF</a:t>
          </a:r>
        </a:p>
        <a:p>
          <a:pPr algn="ct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19050</xdr:colOff>
      <xdr:row>2</xdr:row>
      <xdr:rowOff>333375</xdr:rowOff>
    </xdr:from>
    <xdr:to>
      <xdr:col>6</xdr:col>
      <xdr:colOff>1238249</xdr:colOff>
      <xdr:row>2</xdr:row>
      <xdr:rowOff>619125</xdr:rowOff>
    </xdr:to>
    <xdr:sp macro="" textlink="">
      <xdr:nvSpPr>
        <xdr:cNvPr id="6" name="Rectángulo: esquinas redondeadas 5">
          <a:hlinkClick xmlns:r="http://schemas.openxmlformats.org/officeDocument/2006/relationships" r:id="rId2"/>
          <a:extLst>
            <a:ext uri="{FF2B5EF4-FFF2-40B4-BE49-F238E27FC236}">
              <a16:creationId xmlns:a16="http://schemas.microsoft.com/office/drawing/2014/main" id="{DA99E89C-E408-4D0A-A65E-93256336C943}"/>
            </a:ext>
          </a:extLst>
        </xdr:cNvPr>
        <xdr:cNvSpPr/>
      </xdr:nvSpPr>
      <xdr:spPr>
        <a:xfrm>
          <a:off x="9877425" y="1047750"/>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SALIDAS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9525</xdr:colOff>
      <xdr:row>2</xdr:row>
      <xdr:rowOff>19050</xdr:rowOff>
    </xdr:from>
    <xdr:to>
      <xdr:col>6</xdr:col>
      <xdr:colOff>1228724</xdr:colOff>
      <xdr:row>2</xdr:row>
      <xdr:rowOff>304800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7D710459-676C-4C3E-8F9E-B26464230797}"/>
            </a:ext>
          </a:extLst>
        </xdr:cNvPr>
        <xdr:cNvSpPr/>
      </xdr:nvSpPr>
      <xdr:spPr>
        <a:xfrm>
          <a:off x="9867900" y="733425"/>
          <a:ext cx="1219199" cy="285750"/>
        </a:xfrm>
        <a:prstGeom prst="roundRect">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cap="none" spc="0">
              <a:ln w="0"/>
              <a:solidFill>
                <a:schemeClr val="tx1"/>
              </a:solidFill>
              <a:effectLst>
                <a:outerShdw blurRad="38100" dist="19050" dir="2700000" algn="tl" rotWithShape="0">
                  <a:schemeClr val="dk1">
                    <a:alpha val="40000"/>
                  </a:schemeClr>
                </a:outerShdw>
              </a:effectLst>
            </a:rPr>
            <a:t>INVENTARIOOF</a:t>
          </a:r>
        </a:p>
      </xdr:txBody>
    </xdr:sp>
    <xdr:clientData/>
  </xdr:twoCellAnchor>
  <xdr:twoCellAnchor>
    <xdr:from>
      <xdr:col>6</xdr:col>
      <xdr:colOff>19050</xdr:colOff>
      <xdr:row>2</xdr:row>
      <xdr:rowOff>333375</xdr:rowOff>
    </xdr:from>
    <xdr:to>
      <xdr:col>6</xdr:col>
      <xdr:colOff>1238249</xdr:colOff>
      <xdr:row>2</xdr:row>
      <xdr:rowOff>619125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BB14DE7D-D29B-48D2-B899-A7FAC67B0D84}"/>
            </a:ext>
          </a:extLst>
        </xdr:cNvPr>
        <xdr:cNvSpPr/>
      </xdr:nvSpPr>
      <xdr:spPr>
        <a:xfrm>
          <a:off x="9877425" y="1047750"/>
          <a:ext cx="1219199" cy="285750"/>
        </a:xfrm>
        <a:prstGeom prst="round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ENTRADAS</a:t>
          </a:r>
        </a:p>
        <a:p>
          <a:pPr algn="ctr"/>
          <a:endParaRPr lang="en-US" sz="11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9ACE0-4F6B-41A9-B6BF-DBE1095EBD1F}" name="INVENTARIOBODEGA" displayName="INVENTARIOBODEGA" ref="A3:H188" insertRowShift="1" totalsRowShown="0" headerRowDxfId="55" dataDxfId="54" totalsRowDxfId="53">
  <autoFilter ref="A3:H188" xr:uid="{BC49ACE0-4F6B-41A9-B6BF-DBE1095EBD1F}"/>
  <sortState xmlns:xlrd2="http://schemas.microsoft.com/office/spreadsheetml/2017/richdata2" ref="A4:H188">
    <sortCondition ref="A4:A188"/>
  </sortState>
  <tableColumns count="8">
    <tableColumn id="1" xr3:uid="{E5A5E6B4-1D53-4CA7-88A3-10164B94527A}" name="CÓDIGO PRODUCTO" dataDxfId="52" totalsRowDxfId="51">
      <calculatedColumnFormula>LEFT(B4,3)&amp;RANDBETWEEN(1000,9000)</calculatedColumnFormula>
    </tableColumn>
    <tableColumn id="2" xr3:uid="{8169FB3B-6D09-4FA6-9BC5-000A07A78B32}" name="DESCRIPCIÓN" dataDxfId="50" totalsRowDxfId="49"/>
    <tableColumn id="3" xr3:uid="{17F3E43E-3A28-4EFB-BABC-366FC4754A3B}" name="LOTE" dataDxfId="48" totalsRowDxfId="47"/>
    <tableColumn id="4" xr3:uid="{2CB1E58C-E04D-4E71-B04B-529AF0A8DB49}" name="ENTRADAS" dataDxfId="46" totalsRowDxfId="45">
      <calculatedColumnFormula>IFERROR(SUMIFS(ENTRADASBODEGA[CANTIDAD],ENTRADASBODEGA[DESCRIPCIÓN],INVENTARIOBODEGA[[#This Row],[DESCRIPCIÓN]],ENTRADASBODEGA[LOTE],INVENTARIOBODEGA[[#This Row],[LOTE]]),"-")</calculatedColumnFormula>
    </tableColumn>
    <tableColumn id="5" xr3:uid="{6795F3FB-5E82-48E1-9621-3B6E49317ED5}" name="SALIDAS " dataDxfId="44" totalsRowDxfId="43">
      <calculatedColumnFormula>IFERROR(SUMIFS(SALIDASBODEGA[CANTIDAD],SALIDASBODEGA[DESCRIPCIÓN],INVENTARIOBODEGA[[#This Row],[DESCRIPCIÓN]],SALIDASBODEGA[LOTE],INVENTARIOBODEGA[[#This Row],[LOTE]]),"-")</calculatedColumnFormula>
    </tableColumn>
    <tableColumn id="6" xr3:uid="{6F18AAC7-9B04-43D6-A89B-3AC7F2E63AE8}" name="STOCK ACTUAL" dataDxfId="42" totalsRowDxfId="41">
      <calculatedColumnFormula>INVENTARIOBODEGA[[#This Row],[ENTRADAS]]-INVENTARIOBODEGA[[#This Row],[SALIDAS ]]</calculatedColumnFormula>
    </tableColumn>
    <tableColumn id="7" xr3:uid="{3E6C1613-1C70-4E79-AF76-D36E6FB08CE3}" name="COSTO UNITARIO" dataDxfId="40" totalsRowDxfId="39"/>
    <tableColumn id="8" xr3:uid="{60D4C446-96E7-4BAA-9D64-D0F0041A9776}" name="IMPORTE DE INVENTARIO" dataDxfId="38" totalsRowDxfId="37">
      <calculatedColumnFormula>INVENTARIOBODEGA[[#This Row],[COSTO UNITARIO]]*INVENTARIOBODEGA[[#This Row],[STOCK ACTUAL]]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9BC9F-C324-43F7-BD29-1C2A1C32D386}" name="ENTRADASBODEGA" displayName="ENTRADASBODEGA" ref="A3:F302" totalsRowShown="0" headerRowDxfId="36" dataDxfId="35">
  <autoFilter ref="A3:F302" xr:uid="{0EE9BC9F-C324-43F7-BD29-1C2A1C32D386}"/>
  <sortState xmlns:xlrd2="http://schemas.microsoft.com/office/spreadsheetml/2017/richdata2" ref="A4:F201">
    <sortCondition ref="D3:D201"/>
  </sortState>
  <tableColumns count="6">
    <tableColumn id="1" xr3:uid="{1233C630-083F-4014-87AA-F9641DA0C636}" name="Nro. DOCUMENTOS" dataDxfId="34"/>
    <tableColumn id="2" xr3:uid="{DE247982-508E-475A-86C3-88864A020849}" name="FECHA" dataDxfId="33"/>
    <tableColumn id="3" xr3:uid="{6D395CC0-5532-49D6-9F94-919C50D453F0}" name="CÓDIGO PRODUCTO" dataDxfId="32"/>
    <tableColumn id="4" xr3:uid="{ED831C9C-3AF1-46A0-BE94-E93D54716A22}" name="DESCRIPCIÓN" dataDxfId="31">
      <calculatedColumnFormula>IFERROR(VLOOKUP(ENTRADASBODEGA[[#This Row],[CÓDIGO PRODUCTO]],INVENTARIOBODEGA[],2,FALSE),"-")</calculatedColumnFormula>
    </tableColumn>
    <tableColumn id="5" xr3:uid="{8F2F8803-310F-4483-BBE3-0E1B81BAB478}" name="LOTE" dataDxfId="30">
      <calculatedColumnFormula>IFERROR(VLOOKUP(ENTRADASBODEGA[[#This Row],[CÓDIGO PRODUCTO]],INVENTARIOBODEGA[],3,FALSE),"-")</calculatedColumnFormula>
    </tableColumn>
    <tableColumn id="6" xr3:uid="{CA55D0B1-EEFF-4C61-AC53-6A86A47EF324}" name="CANTIDAD"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890D1-E303-4B90-A029-FFD4D865EC2C}" name="SALIDASBODEGA" displayName="SALIDASBODEGA" ref="A3:F213" totalsRowShown="0" headerRowDxfId="28" dataDxfId="27">
  <autoFilter ref="A3:F213" xr:uid="{997890D1-E303-4B90-A029-FFD4D865EC2C}"/>
  <tableColumns count="6">
    <tableColumn id="1" xr3:uid="{4D6CD1DF-B16C-41BF-8055-8B023DEADF2A}" name="Nro. DOCUMENTOS" dataDxfId="4"/>
    <tableColumn id="2" xr3:uid="{F8111BAF-F6A9-4361-A192-E45C71EC33B8}" name="FECHA" dataDxfId="2"/>
    <tableColumn id="3" xr3:uid="{6BDCBAE1-1129-431D-8879-53D1ADA4E8B8}" name="CÓDIGO PRODUCTO" dataDxfId="3"/>
    <tableColumn id="4" xr3:uid="{8E9EC2C5-5F4A-47DB-B91C-BEF3D71EAF9F}" name="DESCRIPCIÓN" dataDxfId="26">
      <calculatedColumnFormula>IFERROR(VLOOKUP(SALIDASBODEGA[[#This Row],[CÓDIGO PRODUCTO]],INVENTARIOBODEGA[],2,FALSE),"-")</calculatedColumnFormula>
    </tableColumn>
    <tableColumn id="5" xr3:uid="{1C0E6853-5696-4891-AB22-B3D4809202EA}" name="LOTE" dataDxfId="25">
      <calculatedColumnFormula>IFERROR(VLOOKUP(SALIDASBODEGA[[#This Row],[CÓDIGO PRODUCTO]],INVENTARIOBODEGA[],3,FALSE),"-")</calculatedColumnFormula>
    </tableColumn>
    <tableColumn id="6" xr3:uid="{B8383EF8-C5CC-4202-B194-15C18D6ECA6B}" name="CANTIDAD"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5B74DC-A465-43F6-937C-45D1D063DA94}" name="INVENTARIOOFICINA" displayName="INVENTARIOOFICINA" ref="A3:H197" totalsRowShown="0" headerRowDxfId="23" totalsRowDxfId="22">
  <autoFilter ref="A3:H197" xr:uid="{E95B74DC-A465-43F6-937C-45D1D063DA94}"/>
  <sortState xmlns:xlrd2="http://schemas.microsoft.com/office/spreadsheetml/2017/richdata2" ref="A4:H158">
    <sortCondition ref="B3:B158"/>
  </sortState>
  <tableColumns count="8">
    <tableColumn id="1" xr3:uid="{45D0F4F1-8F66-4BA2-977C-1FF36AE42F4F}" name="CÓDIGO PRODUCTO" dataDxfId="21">
      <calculatedColumnFormula>LEFT(B4, 3)&amp;RANDBETWEEN(1000,9999)</calculatedColumnFormula>
    </tableColumn>
    <tableColumn id="2" xr3:uid="{58CC9568-CFF9-43FB-AE86-713AD1828A21}" name="DESCRIPCIÓN " totalsRowDxfId="20"/>
    <tableColumn id="3" xr3:uid="{ACD6B91B-142D-49DB-87FA-AA5A4698B082}" name="LOTE" totalsRowDxfId="19"/>
    <tableColumn id="4" xr3:uid="{C3158969-17EF-4350-AAA3-AAF4719810F9}" name="ENTRADAS" totalsRowDxfId="18">
      <calculatedColumnFormula>IFERROR(SUMIFS(ENTRADASOF[CANTIDAD],ENTRADASOF[DESCRIPCIÓN],INVENTARIOOFICINA[[#This Row],[DESCRIPCIÓN ]],ENTRADASOF[LOTE],INVENTARIOOFICINA[[#This Row],[LOTE]]),"-")</calculatedColumnFormula>
    </tableColumn>
    <tableColumn id="5" xr3:uid="{C5870E16-780B-4961-BA2B-C6C98E9F9EB6}" name="SALIDAS" totalsRowDxfId="17">
      <calculatedColumnFormula>IFERROR(SUMIFS(SALIDASOF[CANTIDAD],SALIDASOF[DESCRIPCIÓN],INVENTARIOOFICINA[[#This Row],[DESCRIPCIÓN ]],SALIDASOF[LOTE],INVENTARIOOFICINA[[#This Row],[LOTE]]),"-")</calculatedColumnFormula>
    </tableColumn>
    <tableColumn id="6" xr3:uid="{6329C561-EE53-4B0F-AF6F-859A91B8788B}" name="STOCK ACTUAL " dataDxfId="16" totalsRowDxfId="15">
      <calculatedColumnFormula>INVENTARIOOFICINA[[#This Row],[ENTRADAS]]-INVENTARIOOFICINA[[#This Row],[SALIDAS]]</calculatedColumnFormula>
    </tableColumn>
    <tableColumn id="7" xr3:uid="{CE15B817-698D-466F-A3BF-52A72707C3AA}" name="PRECIO UNITARIO " totalsRowDxfId="14"/>
    <tableColumn id="8" xr3:uid="{9269E03C-E9CA-4605-A319-D432A95A2ABA}" name="IMPORTE                          INVENTARIO" totalsRowDxfId="13">
      <calculatedColumnFormula>INVENTARIOOFICINA[[#This Row],[PRECIO UNITARIO ]]*INVENTARIOOFICINA[[#This Row],[STOCK ACTUAL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99FFF4-B1CB-4C55-B071-85CB58AE8C86}" name="ENTRADASOF" displayName="ENTRADASOF" ref="A3:F198" totalsRowShown="0" headerRowDxfId="12">
  <autoFilter ref="A3:F198" xr:uid="{E299FFF4-B1CB-4C55-B071-85CB58AE8C86}"/>
  <sortState xmlns:xlrd2="http://schemas.microsoft.com/office/spreadsheetml/2017/richdata2" ref="A4:F158">
    <sortCondition ref="D3:D158"/>
  </sortState>
  <tableColumns count="6">
    <tableColumn id="1" xr3:uid="{89E0FCB1-063D-4904-B1BD-CCBFD3FB1AD0}" name="Nro. DOCUMENTOS" dataDxfId="11"/>
    <tableColumn id="2" xr3:uid="{107F2A06-327C-49A1-B006-1C98A5B25D71}" name="FECHA"/>
    <tableColumn id="3" xr3:uid="{7142CCFA-7BAE-4D0A-94C0-74124C5881C8}" name="CÓDIGO PRODUCTO" dataDxfId="10"/>
    <tableColumn id="4" xr3:uid="{1BA34BE3-00AA-4D66-9D0A-F7B5B7FF395F}" name="DESCRIPCIÓN" dataDxfId="9">
      <calculatedColumnFormula>IFERROR(VLOOKUP(ENTRADASOF[[#This Row],[CÓDIGO PRODUCTO]],INVENTARIOOFICINA[],2,FALSE),"-")</calculatedColumnFormula>
    </tableColumn>
    <tableColumn id="5" xr3:uid="{63E12412-5F91-4116-BEB0-B63C82D12F1C}" name="LOTE" dataDxfId="8">
      <calculatedColumnFormula>IFERROR(VLOOKUP(ENTRADASOF[[#This Row],[CÓDIGO PRODUCTO]],INVENTARIOOFICINA[],3,FALSE),"-")</calculatedColumnFormula>
    </tableColumn>
    <tableColumn id="6" xr3:uid="{71783CCE-5491-43FB-B711-58EE24500C44}" name="CANTIDA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8F355-D686-4F64-898B-061A776EC3A0}" name="SALIDASOF" displayName="SALIDASOF" ref="A3:F160" totalsRowShown="0" headerRowDxfId="7">
  <autoFilter ref="A3:F160" xr:uid="{8F58F355-D686-4F64-898B-061A776EC3A0}"/>
  <tableColumns count="6">
    <tableColumn id="1" xr3:uid="{E8EE4842-DC98-448A-8D6D-1F8D294BA2C8}" name="Nro. DOCUMENTOS" dataDxfId="1"/>
    <tableColumn id="2" xr3:uid="{0A394239-EC7E-4FB9-A56A-2D4A3F601757}" name="FECHA" dataDxfId="0"/>
    <tableColumn id="3" xr3:uid="{99EC3D8F-BC26-42E9-ABCF-06640AE18E39}" name="CÓDIGO PRODUCTO"/>
    <tableColumn id="4" xr3:uid="{59C1CF99-CDF0-4444-88B9-CDDFFED6BE64}" name="DESCRIPCIÓN" dataDxfId="6">
      <calculatedColumnFormula>IFERROR(VLOOKUP(SALIDASOF[[#This Row],[CÓDIGO PRODUCTO]],INVENTARIOOFICINA[],2,FALSE),"-")</calculatedColumnFormula>
    </tableColumn>
    <tableColumn id="5" xr3:uid="{72772702-3FDE-43A8-A4A4-9DA58EAFCE7B}" name="LOTE" dataDxfId="5">
      <calculatedColumnFormula>IFERROR(VLOOKUP(SALIDASOF[[#This Row],[CÓDIGO PRODUCTO]],INVENTARIOOFICINA[],3,FALSE),"-")</calculatedColumnFormula>
    </tableColumn>
    <tableColumn id="6" xr3:uid="{2D5FECB5-9692-4B8B-AC3C-0AA9C8630AF2}" name="CANTIDAD"/>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DBC1-9EB2-4CEF-AB77-FB5035F0FA14}">
  <sheetPr>
    <tabColor theme="9" tint="0.39997558519241921"/>
  </sheetPr>
  <dimension ref="A1:L188"/>
  <sheetViews>
    <sheetView topLeftCell="A134" workbookViewId="0">
      <selection activeCell="A149" sqref="A149"/>
    </sheetView>
  </sheetViews>
  <sheetFormatPr baseColWidth="10" defaultRowHeight="15" x14ac:dyDescent="0.2"/>
  <cols>
    <col min="1" max="1" width="18.6640625" customWidth="1"/>
    <col min="2" max="2" width="61.33203125" customWidth="1"/>
    <col min="3" max="3" width="12.83203125" customWidth="1"/>
    <col min="4" max="4" width="16.6640625" customWidth="1"/>
    <col min="5" max="5" width="14.6640625" customWidth="1"/>
    <col min="6" max="6" width="13.6640625" customWidth="1"/>
    <col min="7" max="7" width="14.6640625" customWidth="1"/>
    <col min="8" max="8" width="18.83203125" customWidth="1"/>
    <col min="9" max="9" width="17.1640625" customWidth="1"/>
    <col min="10" max="10" width="19" customWidth="1"/>
  </cols>
  <sheetData>
    <row r="1" spans="1:12" ht="30.75" customHeight="1" x14ac:dyDescent="0.2">
      <c r="A1" s="23" t="s">
        <v>297</v>
      </c>
      <c r="B1" s="23"/>
      <c r="C1" s="23"/>
      <c r="D1" s="23"/>
      <c r="E1" s="23"/>
      <c r="F1" s="23"/>
      <c r="G1" s="23"/>
      <c r="H1" s="23"/>
    </row>
    <row r="3" spans="1:12" ht="47.25" customHeight="1" x14ac:dyDescent="0.2">
      <c r="A3" s="1" t="s">
        <v>9</v>
      </c>
      <c r="B3" s="1" t="s">
        <v>0</v>
      </c>
      <c r="C3" s="1" t="s">
        <v>1</v>
      </c>
      <c r="D3" s="1" t="s">
        <v>2</v>
      </c>
      <c r="E3" s="1" t="s">
        <v>3</v>
      </c>
      <c r="F3" s="1" t="s">
        <v>4</v>
      </c>
      <c r="G3" s="1" t="s">
        <v>298</v>
      </c>
      <c r="H3" s="1" t="s">
        <v>299</v>
      </c>
      <c r="I3" s="11"/>
      <c r="J3" s="11"/>
    </row>
    <row r="4" spans="1:12" ht="16" x14ac:dyDescent="0.2">
      <c r="A4" s="2" t="s">
        <v>210</v>
      </c>
      <c r="B4" s="2" t="s">
        <v>68</v>
      </c>
      <c r="C4" s="1" t="s">
        <v>87</v>
      </c>
      <c r="D4" s="8">
        <f>IFERROR(SUMIFS(ENTRADASBODEGA[CANTIDAD],ENTRADASBODEGA[DESCRIPCIÓN],INVENTARIOBODEGA[[#This Row],[DESCRIPCIÓN]],ENTRADASBODEGA[LOTE],INVENTARIOBODEGA[[#This Row],[LOTE]]),"-")</f>
        <v>3</v>
      </c>
      <c r="E4" s="8">
        <f>IFERROR(SUMIFS(SALIDASBODEGA[CANTIDAD],SALIDASBODEGA[DESCRIPCIÓN],INVENTARIOBODEGA[[#This Row],[DESCRIPCIÓN]],SALIDASBODEGA[LOTE],INVENTARIOBODEGA[[#This Row],[LOTE]]),"-")</f>
        <v>0</v>
      </c>
      <c r="F4" s="8">
        <f>INVENTARIOBODEGA[[#This Row],[ENTRADAS]]-INVENTARIOBODEGA[[#This Row],[SALIDAS ]]</f>
        <v>3</v>
      </c>
      <c r="G4" s="1"/>
      <c r="H4" s="9">
        <f>INVENTARIOBODEGA[[#This Row],[COSTO UNITARIO]]*INVENTARIOBODEGA[[#This Row],[STOCK ACTUAL]]</f>
        <v>0</v>
      </c>
    </row>
    <row r="5" spans="1:12" ht="15" customHeight="1" x14ac:dyDescent="0.2">
      <c r="A5" s="2" t="s">
        <v>559</v>
      </c>
      <c r="B5" s="2" t="s">
        <v>527</v>
      </c>
      <c r="C5" s="1" t="s">
        <v>463</v>
      </c>
      <c r="D5" s="8">
        <f>IFERROR(SUMIFS(ENTRADASBODEGA[CANTIDAD],ENTRADASBODEGA[DESCRIPCIÓN],INVENTARIOBODEGA[[#This Row],[DESCRIPCIÓN]],ENTRADASBODEGA[LOTE],INVENTARIOBODEGA[[#This Row],[LOTE]]),"-")</f>
        <v>6</v>
      </c>
      <c r="E5" s="8">
        <f>IFERROR(SUMIFS(SALIDASBODEGA[CANTIDAD],SALIDASBODEGA[DESCRIPCIÓN],INVENTARIOBODEGA[[#This Row],[DESCRIPCIÓN]],SALIDASBODEGA[LOTE],INVENTARIOBODEGA[[#This Row],[LOTE]]),"-")</f>
        <v>2</v>
      </c>
      <c r="F5" s="8">
        <f>INVENTARIOBODEGA[[#This Row],[ENTRADAS]]-INVENTARIOBODEGA[[#This Row],[SALIDAS ]]</f>
        <v>4</v>
      </c>
      <c r="G5" s="1"/>
      <c r="H5" s="9">
        <f>INVENTARIOBODEGA[[#This Row],[COSTO UNITARIO]]*INVENTARIOBODEGA[[#This Row],[STOCK ACTUAL]]</f>
        <v>0</v>
      </c>
      <c r="K5" s="22" t="s">
        <v>300</v>
      </c>
      <c r="L5" s="22"/>
    </row>
    <row r="6" spans="1:12" ht="16" x14ac:dyDescent="0.2">
      <c r="A6" s="2" t="s">
        <v>238</v>
      </c>
      <c r="B6" s="2" t="s">
        <v>285</v>
      </c>
      <c r="C6" s="1" t="s">
        <v>149</v>
      </c>
      <c r="D6" s="8">
        <f>IFERROR(SUMIFS(ENTRADASBODEGA[CANTIDAD],ENTRADASBODEGA[DESCRIPCIÓN],INVENTARIOBODEGA[[#This Row],[DESCRIPCIÓN]],ENTRADASBODEGA[LOTE],INVENTARIOBODEGA[[#This Row],[LOTE]]),"-")</f>
        <v>14</v>
      </c>
      <c r="E6" s="8">
        <f>IFERROR(SUMIFS(SALIDASBODEGA[CANTIDAD],SALIDASBODEGA[DESCRIPCIÓN],INVENTARIOBODEGA[[#This Row],[DESCRIPCIÓN]],SALIDASBODEGA[LOTE],INVENTARIOBODEGA[[#This Row],[LOTE]]),"-")</f>
        <v>0</v>
      </c>
      <c r="F6" s="8">
        <f>INVENTARIOBODEGA[[#This Row],[ENTRADAS]]-INVENTARIOBODEGA[[#This Row],[SALIDAS ]]</f>
        <v>14</v>
      </c>
      <c r="G6" s="1"/>
      <c r="H6" s="9">
        <f>INVENTARIOBODEGA[[#This Row],[COSTO UNITARIO]]*INVENTARIOBODEGA[[#This Row],[STOCK ACTUAL]]</f>
        <v>0</v>
      </c>
      <c r="K6" s="22"/>
      <c r="L6" s="22"/>
    </row>
    <row r="7" spans="1:12" ht="16" x14ac:dyDescent="0.2">
      <c r="A7" s="2" t="s">
        <v>237</v>
      </c>
      <c r="B7" s="2" t="s">
        <v>109</v>
      </c>
      <c r="C7" s="1" t="s">
        <v>149</v>
      </c>
      <c r="D7" s="8">
        <f>IFERROR(SUMIFS(ENTRADASBODEGA[CANTIDAD],ENTRADASBODEGA[DESCRIPCIÓN],INVENTARIOBODEGA[[#This Row],[DESCRIPCIÓN]],ENTRADASBODEGA[LOTE],INVENTARIOBODEGA[[#This Row],[LOTE]]),"-")</f>
        <v>20</v>
      </c>
      <c r="E7" s="8">
        <f>IFERROR(SUMIFS(SALIDASBODEGA[CANTIDAD],SALIDASBODEGA[DESCRIPCIÓN],INVENTARIOBODEGA[[#This Row],[DESCRIPCIÓN]],SALIDASBODEGA[LOTE],INVENTARIOBODEGA[[#This Row],[LOTE]]),"-")</f>
        <v>0</v>
      </c>
      <c r="F7" s="8">
        <f>INVENTARIOBODEGA[[#This Row],[ENTRADAS]]-INVENTARIOBODEGA[[#This Row],[SALIDAS ]]</f>
        <v>20</v>
      </c>
      <c r="G7" s="1"/>
      <c r="H7" s="9">
        <f>INVENTARIOBODEGA[[#This Row],[COSTO UNITARIO]]*INVENTARIOBODEGA[[#This Row],[STOCK ACTUAL]]</f>
        <v>0</v>
      </c>
      <c r="K7" s="22"/>
      <c r="L7" s="22"/>
    </row>
    <row r="8" spans="1:12" ht="16" x14ac:dyDescent="0.2">
      <c r="A8" s="2" t="s">
        <v>561</v>
      </c>
      <c r="B8" s="2" t="s">
        <v>529</v>
      </c>
      <c r="C8" s="1" t="s">
        <v>464</v>
      </c>
      <c r="D8" s="8">
        <f>IFERROR(SUMIFS(ENTRADASBODEGA[CANTIDAD],ENTRADASBODEGA[DESCRIPCIÓN],INVENTARIOBODEGA[[#This Row],[DESCRIPCIÓN]],ENTRADASBODEGA[LOTE],INVENTARIOBODEGA[[#This Row],[LOTE]]),"-")</f>
        <v>100</v>
      </c>
      <c r="E8" s="8">
        <f>IFERROR(SUMIFS(SALIDASBODEGA[CANTIDAD],SALIDASBODEGA[DESCRIPCIÓN],INVENTARIOBODEGA[[#This Row],[DESCRIPCIÓN]],SALIDASBODEGA[LOTE],INVENTARIOBODEGA[[#This Row],[LOTE]]),"-")</f>
        <v>0</v>
      </c>
      <c r="F8" s="8">
        <f>INVENTARIOBODEGA[[#This Row],[ENTRADAS]]-INVENTARIOBODEGA[[#This Row],[SALIDAS ]]</f>
        <v>100</v>
      </c>
      <c r="G8" s="1"/>
      <c r="H8" s="9">
        <f>INVENTARIOBODEGA[[#This Row],[COSTO UNITARIO]]*INVENTARIOBODEGA[[#This Row],[STOCK ACTUAL]]</f>
        <v>0</v>
      </c>
      <c r="K8" s="22"/>
      <c r="L8" s="22"/>
    </row>
    <row r="9" spans="1:12" ht="16" x14ac:dyDescent="0.2">
      <c r="A9" s="2" t="s">
        <v>560</v>
      </c>
      <c r="B9" s="2" t="s">
        <v>528</v>
      </c>
      <c r="C9" s="1" t="s">
        <v>464</v>
      </c>
      <c r="D9" s="8">
        <f>IFERROR(SUMIFS(ENTRADASBODEGA[CANTIDAD],ENTRADASBODEGA[DESCRIPCIÓN],INVENTARIOBODEGA[[#This Row],[DESCRIPCIÓN]],ENTRADASBODEGA[LOTE],INVENTARIOBODEGA[[#This Row],[LOTE]]),"-")</f>
        <v>40</v>
      </c>
      <c r="E9" s="8">
        <f>IFERROR(SUMIFS(SALIDASBODEGA[CANTIDAD],SALIDASBODEGA[DESCRIPCIÓN],INVENTARIOBODEGA[[#This Row],[DESCRIPCIÓN]],SALIDASBODEGA[LOTE],INVENTARIOBODEGA[[#This Row],[LOTE]]),"-")</f>
        <v>0</v>
      </c>
      <c r="F9" s="8">
        <f>INVENTARIOBODEGA[[#This Row],[ENTRADAS]]-INVENTARIOBODEGA[[#This Row],[SALIDAS ]]</f>
        <v>40</v>
      </c>
      <c r="G9" s="1"/>
      <c r="H9" s="9">
        <f>INVENTARIOBODEGA[[#This Row],[COSTO UNITARIO]]*INVENTARIOBODEGA[[#This Row],[STOCK ACTUAL]]</f>
        <v>0</v>
      </c>
      <c r="K9" s="22"/>
      <c r="L9" s="22"/>
    </row>
    <row r="10" spans="1:12" ht="16" x14ac:dyDescent="0.2">
      <c r="A10" s="2" t="s">
        <v>785</v>
      </c>
      <c r="B10" s="2" t="s">
        <v>784</v>
      </c>
      <c r="C10" s="1" t="s">
        <v>150</v>
      </c>
      <c r="D10" s="8">
        <f>IFERROR(SUMIFS(ENTRADASBODEGA[CANTIDAD],ENTRADASBODEGA[DESCRIPCIÓN],INVENTARIOBODEGA[[#This Row],[DESCRIPCIÓN]],ENTRADASBODEGA[LOTE],INVENTARIOBODEGA[[#This Row],[LOTE]]),"-")</f>
        <v>3</v>
      </c>
      <c r="E10" s="8">
        <f>IFERROR(SUMIFS(SALIDASBODEGA[CANTIDAD],SALIDASBODEGA[DESCRIPCIÓN],INVENTARIOBODEGA[[#This Row],[DESCRIPCIÓN]],SALIDASBODEGA[LOTE],INVENTARIOBODEGA[[#This Row],[LOTE]]),"-")</f>
        <v>1</v>
      </c>
      <c r="F10" s="8">
        <f>INVENTARIOBODEGA[[#This Row],[ENTRADAS]]-INVENTARIOBODEGA[[#This Row],[SALIDAS ]]</f>
        <v>2</v>
      </c>
      <c r="G10" s="1"/>
      <c r="H10" s="9">
        <f>INVENTARIOBODEGA[[#This Row],[COSTO UNITARIO]]*INVENTARIOBODEGA[[#This Row],[STOCK ACTUAL]]</f>
        <v>0</v>
      </c>
      <c r="K10" s="22"/>
      <c r="L10" s="22"/>
    </row>
    <row r="11" spans="1:12" ht="16" x14ac:dyDescent="0.2">
      <c r="A11" s="2" t="s">
        <v>250</v>
      </c>
      <c r="B11" s="2" t="s">
        <v>120</v>
      </c>
      <c r="C11" s="1" t="s">
        <v>150</v>
      </c>
      <c r="D11" s="8">
        <f>IFERROR(SUMIFS(ENTRADASBODEGA[CANTIDAD],ENTRADASBODEGA[DESCRIPCIÓN],INVENTARIOBODEGA[[#This Row],[DESCRIPCIÓN]],ENTRADASBODEGA[LOTE],INVENTARIOBODEGA[[#This Row],[LOTE]]),"-")</f>
        <v>2</v>
      </c>
      <c r="E11" s="8">
        <f>IFERROR(SUMIFS(SALIDASBODEGA[CANTIDAD],SALIDASBODEGA[DESCRIPCIÓN],INVENTARIOBODEGA[[#This Row],[DESCRIPCIÓN]],SALIDASBODEGA[LOTE],INVENTARIOBODEGA[[#This Row],[LOTE]]),"-")</f>
        <v>0</v>
      </c>
      <c r="F11" s="8">
        <f>INVENTARIOBODEGA[[#This Row],[ENTRADAS]]-INVENTARIOBODEGA[[#This Row],[SALIDAS ]]</f>
        <v>2</v>
      </c>
      <c r="G11" s="1"/>
      <c r="H11" s="9">
        <f>INVENTARIOBODEGA[[#This Row],[COSTO UNITARIO]]*INVENTARIOBODEGA[[#This Row],[STOCK ACTUAL]]</f>
        <v>0</v>
      </c>
      <c r="K11" s="22"/>
      <c r="L11" s="22"/>
    </row>
    <row r="12" spans="1:12" ht="16" x14ac:dyDescent="0.2">
      <c r="A12" s="2" t="s">
        <v>275</v>
      </c>
      <c r="B12" s="2" t="s">
        <v>144</v>
      </c>
      <c r="C12" s="1" t="s">
        <v>150</v>
      </c>
      <c r="D12" s="8">
        <f>IFERROR(SUMIFS(ENTRADASBODEGA[CANTIDAD],ENTRADASBODEGA[DESCRIPCIÓN],INVENTARIOBODEGA[[#This Row],[DESCRIPCIÓN]],ENTRADASBODEGA[LOTE],INVENTARIOBODEGA[[#This Row],[LOTE]]),"-")</f>
        <v>1</v>
      </c>
      <c r="E12" s="8">
        <f>IFERROR(SUMIFS(SALIDASBODEGA[CANTIDAD],SALIDASBODEGA[DESCRIPCIÓN],INVENTARIOBODEGA[[#This Row],[DESCRIPCIÓN]],SALIDASBODEGA[LOTE],INVENTARIOBODEGA[[#This Row],[LOTE]]),"-")</f>
        <v>0</v>
      </c>
      <c r="F12" s="8">
        <f>INVENTARIOBODEGA[[#This Row],[ENTRADAS]]-INVENTARIOBODEGA[[#This Row],[SALIDAS ]]</f>
        <v>1</v>
      </c>
      <c r="G12" s="1"/>
      <c r="H12" s="9">
        <f>INVENTARIOBODEGA[[#This Row],[COSTO UNITARIO]]*INVENTARIOBODEGA[[#This Row],[STOCK ACTUAL]]</f>
        <v>0</v>
      </c>
      <c r="K12" s="22"/>
      <c r="L12" s="22"/>
    </row>
    <row r="13" spans="1:12" ht="16" x14ac:dyDescent="0.2">
      <c r="A13" s="2" t="s">
        <v>227</v>
      </c>
      <c r="B13" s="2" t="s">
        <v>100</v>
      </c>
      <c r="C13" s="1" t="s">
        <v>91</v>
      </c>
      <c r="D13" s="8">
        <f>IFERROR(SUMIFS(ENTRADASBODEGA[CANTIDAD],ENTRADASBODEGA[DESCRIPCIÓN],INVENTARIOBODEGA[[#This Row],[DESCRIPCIÓN]],ENTRADASBODEGA[LOTE],INVENTARIOBODEGA[[#This Row],[LOTE]]),"-")</f>
        <v>15</v>
      </c>
      <c r="E13" s="8">
        <f>IFERROR(SUMIFS(SALIDASBODEGA[CANTIDAD],SALIDASBODEGA[DESCRIPCIÓN],INVENTARIOBODEGA[[#This Row],[DESCRIPCIÓN]],SALIDASBODEGA[LOTE],INVENTARIOBODEGA[[#This Row],[LOTE]]),"-")</f>
        <v>0</v>
      </c>
      <c r="F13" s="8">
        <f>INVENTARIOBODEGA[[#This Row],[ENTRADAS]]-INVENTARIOBODEGA[[#This Row],[SALIDAS ]]</f>
        <v>15</v>
      </c>
      <c r="G13" s="1"/>
      <c r="H13" s="9">
        <f>INVENTARIOBODEGA[[#This Row],[COSTO UNITARIO]]*INVENTARIOBODEGA[[#This Row],[STOCK ACTUAL]]</f>
        <v>0</v>
      </c>
      <c r="K13" s="22"/>
      <c r="L13" s="22"/>
    </row>
    <row r="14" spans="1:12" ht="16" x14ac:dyDescent="0.2">
      <c r="A14" s="2" t="s">
        <v>228</v>
      </c>
      <c r="B14" s="2" t="s">
        <v>101</v>
      </c>
      <c r="C14" s="1" t="s">
        <v>91</v>
      </c>
      <c r="D14" s="8">
        <f>IFERROR(SUMIFS(ENTRADASBODEGA[CANTIDAD],ENTRADASBODEGA[DESCRIPCIÓN],INVENTARIOBODEGA[[#This Row],[DESCRIPCIÓN]],ENTRADASBODEGA[LOTE],INVENTARIOBODEGA[[#This Row],[LOTE]]),"-")</f>
        <v>13</v>
      </c>
      <c r="E14" s="8">
        <f>IFERROR(SUMIFS(SALIDASBODEGA[CANTIDAD],SALIDASBODEGA[DESCRIPCIÓN],INVENTARIOBODEGA[[#This Row],[DESCRIPCIÓN]],SALIDASBODEGA[LOTE],INVENTARIOBODEGA[[#This Row],[LOTE]]),"-")</f>
        <v>4</v>
      </c>
      <c r="F14" s="8">
        <f>INVENTARIOBODEGA[[#This Row],[ENTRADAS]]-INVENTARIOBODEGA[[#This Row],[SALIDAS ]]</f>
        <v>9</v>
      </c>
      <c r="G14" s="1"/>
      <c r="H14" s="9">
        <f>INVENTARIOBODEGA[[#This Row],[COSTO UNITARIO]]*INVENTARIOBODEGA[[#This Row],[STOCK ACTUAL]]</f>
        <v>0</v>
      </c>
      <c r="K14" s="22"/>
      <c r="L14" s="22"/>
    </row>
    <row r="15" spans="1:12" ht="16" x14ac:dyDescent="0.2">
      <c r="A15" s="2" t="s">
        <v>229</v>
      </c>
      <c r="B15" s="2" t="s">
        <v>102</v>
      </c>
      <c r="C15" s="1" t="s">
        <v>91</v>
      </c>
      <c r="D15" s="8">
        <f>IFERROR(SUMIFS(ENTRADASBODEGA[CANTIDAD],ENTRADASBODEGA[DESCRIPCIÓN],INVENTARIOBODEGA[[#This Row],[DESCRIPCIÓN]],ENTRADASBODEGA[LOTE],INVENTARIOBODEGA[[#This Row],[LOTE]]),"-")</f>
        <v>17</v>
      </c>
      <c r="E15" s="8">
        <f>IFERROR(SUMIFS(SALIDASBODEGA[CANTIDAD],SALIDASBODEGA[DESCRIPCIÓN],INVENTARIOBODEGA[[#This Row],[DESCRIPCIÓN]],SALIDASBODEGA[LOTE],INVENTARIOBODEGA[[#This Row],[LOTE]]),"-")</f>
        <v>0</v>
      </c>
      <c r="F15" s="8">
        <f>INVENTARIOBODEGA[[#This Row],[ENTRADAS]]-INVENTARIOBODEGA[[#This Row],[SALIDAS ]]</f>
        <v>17</v>
      </c>
      <c r="G15" s="1"/>
      <c r="H15" s="9">
        <f>INVENTARIOBODEGA[[#This Row],[COSTO UNITARIO]]*INVENTARIOBODEGA[[#This Row],[STOCK ACTUAL]]</f>
        <v>0</v>
      </c>
      <c r="K15" s="22"/>
      <c r="L15" s="22"/>
    </row>
    <row r="16" spans="1:12" ht="16" x14ac:dyDescent="0.2">
      <c r="A16" s="2" t="s">
        <v>215</v>
      </c>
      <c r="B16" s="2" t="s">
        <v>73</v>
      </c>
      <c r="C16" s="1" t="s">
        <v>91</v>
      </c>
      <c r="D16" s="8">
        <f>IFERROR(SUMIFS(ENTRADASBODEGA[CANTIDAD],ENTRADASBODEGA[DESCRIPCIÓN],INVENTARIOBODEGA[[#This Row],[DESCRIPCIÓN]],ENTRADASBODEGA[LOTE],INVENTARIOBODEGA[[#This Row],[LOTE]]),"-")</f>
        <v>9</v>
      </c>
      <c r="E16" s="8">
        <f>IFERROR(SUMIFS(SALIDASBODEGA[CANTIDAD],SALIDASBODEGA[DESCRIPCIÓN],INVENTARIOBODEGA[[#This Row],[DESCRIPCIÓN]],SALIDASBODEGA[LOTE],INVENTARIOBODEGA[[#This Row],[LOTE]]),"-")</f>
        <v>0</v>
      </c>
      <c r="F16" s="8">
        <f>INVENTARIOBODEGA[[#This Row],[ENTRADAS]]-INVENTARIOBODEGA[[#This Row],[SALIDAS ]]</f>
        <v>9</v>
      </c>
      <c r="G16" s="1"/>
      <c r="H16" s="9">
        <f>INVENTARIOBODEGA[[#This Row],[COSTO UNITARIO]]*INVENTARIOBODEGA[[#This Row],[STOCK ACTUAL]]</f>
        <v>0</v>
      </c>
      <c r="K16" s="22"/>
      <c r="L16" s="22"/>
    </row>
    <row r="17" spans="1:8" ht="16" x14ac:dyDescent="0.2">
      <c r="A17" s="2" t="s">
        <v>168</v>
      </c>
      <c r="B17" s="2" t="s">
        <v>26</v>
      </c>
      <c r="C17" s="1" t="s">
        <v>81</v>
      </c>
      <c r="D17" s="8">
        <f>IFERROR(SUMIFS(ENTRADASBODEGA[CANTIDAD],ENTRADASBODEGA[DESCRIPCIÓN],INVENTARIOBODEGA[[#This Row],[DESCRIPCIÓN]],ENTRADASBODEGA[LOTE],INVENTARIOBODEGA[[#This Row],[LOTE]]),"-")</f>
        <v>108</v>
      </c>
      <c r="E17" s="8">
        <f>IFERROR(SUMIFS(SALIDASBODEGA[CANTIDAD],SALIDASBODEGA[DESCRIPCIÓN],INVENTARIOBODEGA[[#This Row],[DESCRIPCIÓN]],SALIDASBODEGA[LOTE],INVENTARIOBODEGA[[#This Row],[LOTE]]),"-")</f>
        <v>0</v>
      </c>
      <c r="F17" s="8">
        <f>INVENTARIOBODEGA[[#This Row],[ENTRADAS]]-INVENTARIOBODEGA[[#This Row],[SALIDAS ]]</f>
        <v>108</v>
      </c>
      <c r="G17" s="1"/>
      <c r="H17" s="9">
        <f>INVENTARIOBODEGA[[#This Row],[COSTO UNITARIO]]*INVENTARIOBODEGA[[#This Row],[STOCK ACTUAL]]</f>
        <v>0</v>
      </c>
    </row>
    <row r="18" spans="1:8" ht="16" x14ac:dyDescent="0.2">
      <c r="A18" s="2" t="s">
        <v>165</v>
      </c>
      <c r="B18" s="2" t="s">
        <v>23</v>
      </c>
      <c r="C18" s="1" t="s">
        <v>80</v>
      </c>
      <c r="D18" s="8">
        <f>IFERROR(SUMIFS(ENTRADASBODEGA[CANTIDAD],ENTRADASBODEGA[DESCRIPCIÓN],INVENTARIOBODEGA[[#This Row],[DESCRIPCIÓN]],ENTRADASBODEGA[LOTE],INVENTARIOBODEGA[[#This Row],[LOTE]]),"-")</f>
        <v>10</v>
      </c>
      <c r="E18" s="8">
        <f>IFERROR(SUMIFS(SALIDASBODEGA[CANTIDAD],SALIDASBODEGA[DESCRIPCIÓN],INVENTARIOBODEGA[[#This Row],[DESCRIPCIÓN]],SALIDASBODEGA[LOTE],INVENTARIOBODEGA[[#This Row],[LOTE]]),"-")</f>
        <v>0</v>
      </c>
      <c r="F18" s="8">
        <f>INVENTARIOBODEGA[[#This Row],[ENTRADAS]]-INVENTARIOBODEGA[[#This Row],[SALIDAS ]]</f>
        <v>10</v>
      </c>
      <c r="G18" s="1"/>
      <c r="H18" s="9">
        <f>INVENTARIOBODEGA[[#This Row],[COSTO UNITARIO]]*INVENTARIOBODEGA[[#This Row],[STOCK ACTUAL]]</f>
        <v>0</v>
      </c>
    </row>
    <row r="19" spans="1:8" ht="16" x14ac:dyDescent="0.2">
      <c r="A19" s="2" t="s">
        <v>211</v>
      </c>
      <c r="B19" s="2" t="s">
        <v>69</v>
      </c>
      <c r="C19" s="1" t="s">
        <v>88</v>
      </c>
      <c r="D19" s="8">
        <f>IFERROR(SUMIFS(ENTRADASBODEGA[CANTIDAD],ENTRADASBODEGA[DESCRIPCIÓN],INVENTARIOBODEGA[[#This Row],[DESCRIPCIÓN]],ENTRADASBODEGA[LOTE],INVENTARIOBODEGA[[#This Row],[LOTE]]),"-")</f>
        <v>1</v>
      </c>
      <c r="E19" s="8">
        <f>IFERROR(SUMIFS(SALIDASBODEGA[CANTIDAD],SALIDASBODEGA[DESCRIPCIÓN],INVENTARIOBODEGA[[#This Row],[DESCRIPCIÓN]],SALIDASBODEGA[LOTE],INVENTARIOBODEGA[[#This Row],[LOTE]]),"-")</f>
        <v>0</v>
      </c>
      <c r="F19" s="8">
        <f>INVENTARIOBODEGA[[#This Row],[ENTRADAS]]-INVENTARIOBODEGA[[#This Row],[SALIDAS ]]</f>
        <v>1</v>
      </c>
      <c r="G19" s="1"/>
      <c r="H19" s="9">
        <f>INVENTARIOBODEGA[[#This Row],[COSTO UNITARIO]]*INVENTARIOBODEGA[[#This Row],[STOCK ACTUAL]]</f>
        <v>0</v>
      </c>
    </row>
    <row r="20" spans="1:8" ht="16" x14ac:dyDescent="0.2">
      <c r="A20" s="2" t="s">
        <v>219</v>
      </c>
      <c r="B20" s="2" t="s">
        <v>77</v>
      </c>
      <c r="C20" s="1" t="s">
        <v>93</v>
      </c>
      <c r="D20" s="8">
        <f>IFERROR(SUMIFS(ENTRADASBODEGA[CANTIDAD],ENTRADASBODEGA[DESCRIPCIÓN],INVENTARIOBODEGA[[#This Row],[DESCRIPCIÓN]],ENTRADASBODEGA[LOTE],INVENTARIOBODEGA[[#This Row],[LOTE]]),"-")</f>
        <v>16</v>
      </c>
      <c r="E20" s="8">
        <f>IFERROR(SUMIFS(SALIDASBODEGA[CANTIDAD],SALIDASBODEGA[DESCRIPCIÓN],INVENTARIOBODEGA[[#This Row],[DESCRIPCIÓN]],SALIDASBODEGA[LOTE],INVENTARIOBODEGA[[#This Row],[LOTE]]),"-")</f>
        <v>0</v>
      </c>
      <c r="F20" s="8">
        <f>INVENTARIOBODEGA[[#This Row],[ENTRADAS]]-INVENTARIOBODEGA[[#This Row],[SALIDAS ]]</f>
        <v>16</v>
      </c>
      <c r="G20" s="1"/>
      <c r="H20" s="9">
        <f>INVENTARIOBODEGA[[#This Row],[COSTO UNITARIO]]*INVENTARIOBODEGA[[#This Row],[STOCK ACTUAL]]</f>
        <v>0</v>
      </c>
    </row>
    <row r="21" spans="1:8" ht="16" x14ac:dyDescent="0.2">
      <c r="A21" s="2" t="s">
        <v>240</v>
      </c>
      <c r="B21" s="2" t="s">
        <v>111</v>
      </c>
      <c r="C21" s="1" t="s">
        <v>93</v>
      </c>
      <c r="D21" s="8">
        <f>IFERROR(SUMIFS(ENTRADASBODEGA[CANTIDAD],ENTRADASBODEGA[DESCRIPCIÓN],INVENTARIOBODEGA[[#This Row],[DESCRIPCIÓN]],ENTRADASBODEGA[LOTE],INVENTARIOBODEGA[[#This Row],[LOTE]]),"-")</f>
        <v>42</v>
      </c>
      <c r="E21" s="8">
        <f>IFERROR(SUMIFS(SALIDASBODEGA[CANTIDAD],SALIDASBODEGA[DESCRIPCIÓN],INVENTARIOBODEGA[[#This Row],[DESCRIPCIÓN]],SALIDASBODEGA[LOTE],INVENTARIOBODEGA[[#This Row],[LOTE]]),"-")</f>
        <v>8</v>
      </c>
      <c r="F21" s="8">
        <f>INVENTARIOBODEGA[[#This Row],[ENTRADAS]]-INVENTARIOBODEGA[[#This Row],[SALIDAS ]]</f>
        <v>34</v>
      </c>
      <c r="G21" s="1"/>
      <c r="H21" s="9">
        <f>INVENTARIOBODEGA[[#This Row],[COSTO UNITARIO]]*INVENTARIOBODEGA[[#This Row],[STOCK ACTUAL]]</f>
        <v>0</v>
      </c>
    </row>
    <row r="22" spans="1:8" ht="16" x14ac:dyDescent="0.2">
      <c r="A22" s="2" t="s">
        <v>244</v>
      </c>
      <c r="B22" s="2" t="s">
        <v>114</v>
      </c>
      <c r="C22" s="1" t="s">
        <v>93</v>
      </c>
      <c r="D22" s="8">
        <f>IFERROR(SUMIFS(ENTRADASBODEGA[CANTIDAD],ENTRADASBODEGA[DESCRIPCIÓN],INVENTARIOBODEGA[[#This Row],[DESCRIPCIÓN]],ENTRADASBODEGA[LOTE],INVENTARIOBODEGA[[#This Row],[LOTE]]),"-")</f>
        <v>129</v>
      </c>
      <c r="E22" s="8">
        <f>IFERROR(SUMIFS(SALIDASBODEGA[CANTIDAD],SALIDASBODEGA[DESCRIPCIÓN],INVENTARIOBODEGA[[#This Row],[DESCRIPCIÓN]],SALIDASBODEGA[LOTE],INVENTARIOBODEGA[[#This Row],[LOTE]]),"-")</f>
        <v>0</v>
      </c>
      <c r="F22" s="8">
        <f>INVENTARIOBODEGA[[#This Row],[ENTRADAS]]-INVENTARIOBODEGA[[#This Row],[SALIDAS ]]</f>
        <v>129</v>
      </c>
      <c r="G22" s="1"/>
      <c r="H22" s="9">
        <f>INVENTARIOBODEGA[[#This Row],[COSTO UNITARIO]]*INVENTARIOBODEGA[[#This Row],[STOCK ACTUAL]]</f>
        <v>0</v>
      </c>
    </row>
    <row r="23" spans="1:8" ht="16" x14ac:dyDescent="0.2">
      <c r="A23" s="2" t="s">
        <v>220</v>
      </c>
      <c r="B23" s="2" t="s">
        <v>78</v>
      </c>
      <c r="C23" s="1" t="s">
        <v>93</v>
      </c>
      <c r="D23" s="8">
        <f>IFERROR(SUMIFS(ENTRADASBODEGA[CANTIDAD],ENTRADASBODEGA[DESCRIPCIÓN],INVENTARIOBODEGA[[#This Row],[DESCRIPCIÓN]],ENTRADASBODEGA[LOTE],INVENTARIOBODEGA[[#This Row],[LOTE]]),"-")</f>
        <v>18</v>
      </c>
      <c r="E23" s="8">
        <f>IFERROR(SUMIFS(SALIDASBODEGA[CANTIDAD],SALIDASBODEGA[DESCRIPCIÓN],INVENTARIOBODEGA[[#This Row],[DESCRIPCIÓN]],SALIDASBODEGA[LOTE],INVENTARIOBODEGA[[#This Row],[LOTE]]),"-")</f>
        <v>0</v>
      </c>
      <c r="F23" s="8">
        <f>INVENTARIOBODEGA[[#This Row],[ENTRADAS]]-INVENTARIOBODEGA[[#This Row],[SALIDAS ]]</f>
        <v>18</v>
      </c>
      <c r="G23" s="1"/>
      <c r="H23" s="9">
        <f>INVENTARIOBODEGA[[#This Row],[COSTO UNITARIO]]*INVENTARIOBODEGA[[#This Row],[STOCK ACTUAL]]</f>
        <v>0</v>
      </c>
    </row>
    <row r="24" spans="1:8" ht="16" x14ac:dyDescent="0.2">
      <c r="A24" s="2" t="s">
        <v>242</v>
      </c>
      <c r="B24" s="2" t="s">
        <v>112</v>
      </c>
      <c r="C24" s="1" t="s">
        <v>93</v>
      </c>
      <c r="D24" s="8">
        <f>IFERROR(SUMIFS(ENTRADASBODEGA[CANTIDAD],ENTRADASBODEGA[DESCRIPCIÓN],INVENTARIOBODEGA[[#This Row],[DESCRIPCIÓN]],ENTRADASBODEGA[LOTE],INVENTARIOBODEGA[[#This Row],[LOTE]]),"-")</f>
        <v>91</v>
      </c>
      <c r="E24" s="8">
        <f>IFERROR(SUMIFS(SALIDASBODEGA[CANTIDAD],SALIDASBODEGA[DESCRIPCIÓN],INVENTARIOBODEGA[[#This Row],[DESCRIPCIÓN]],SALIDASBODEGA[LOTE],INVENTARIOBODEGA[[#This Row],[LOTE]]),"-")</f>
        <v>0</v>
      </c>
      <c r="F24" s="8">
        <f>INVENTARIOBODEGA[[#This Row],[ENTRADAS]]-INVENTARIOBODEGA[[#This Row],[SALIDAS ]]</f>
        <v>91</v>
      </c>
      <c r="G24" s="1"/>
      <c r="H24" s="9">
        <f>INVENTARIOBODEGA[[#This Row],[COSTO UNITARIO]]*INVENTARIOBODEGA[[#This Row],[STOCK ACTUAL]]</f>
        <v>0</v>
      </c>
    </row>
    <row r="25" spans="1:8" ht="16" x14ac:dyDescent="0.2">
      <c r="A25" s="2" t="s">
        <v>245</v>
      </c>
      <c r="B25" s="2" t="s">
        <v>115</v>
      </c>
      <c r="C25" s="1" t="s">
        <v>93</v>
      </c>
      <c r="D25" s="8">
        <f>IFERROR(SUMIFS(ENTRADASBODEGA[CANTIDAD],ENTRADASBODEGA[DESCRIPCIÓN],INVENTARIOBODEGA[[#This Row],[DESCRIPCIÓN]],ENTRADASBODEGA[LOTE],INVENTARIOBODEGA[[#This Row],[LOTE]]),"-")</f>
        <v>115</v>
      </c>
      <c r="E25" s="8">
        <f>IFERROR(SUMIFS(SALIDASBODEGA[CANTIDAD],SALIDASBODEGA[DESCRIPCIÓN],INVENTARIOBODEGA[[#This Row],[DESCRIPCIÓN]],SALIDASBODEGA[LOTE],INVENTARIOBODEGA[[#This Row],[LOTE]]),"-")</f>
        <v>0</v>
      </c>
      <c r="F25" s="8">
        <f>INVENTARIOBODEGA[[#This Row],[ENTRADAS]]-INVENTARIOBODEGA[[#This Row],[SALIDAS ]]</f>
        <v>115</v>
      </c>
      <c r="G25" s="1"/>
      <c r="H25" s="9">
        <f>INVENTARIOBODEGA[[#This Row],[COSTO UNITARIO]]*INVENTARIOBODEGA[[#This Row],[STOCK ACTUAL]]</f>
        <v>0</v>
      </c>
    </row>
    <row r="26" spans="1:8" ht="16" x14ac:dyDescent="0.2">
      <c r="A26" s="2" t="s">
        <v>243</v>
      </c>
      <c r="B26" s="2" t="s">
        <v>113</v>
      </c>
      <c r="C26" s="1" t="s">
        <v>93</v>
      </c>
      <c r="D26" s="8">
        <f>IFERROR(SUMIFS(ENTRADASBODEGA[CANTIDAD],ENTRADASBODEGA[DESCRIPCIÓN],INVENTARIOBODEGA[[#This Row],[DESCRIPCIÓN]],ENTRADASBODEGA[LOTE],INVENTARIOBODEGA[[#This Row],[LOTE]]),"-")</f>
        <v>43</v>
      </c>
      <c r="E26" s="8">
        <f>IFERROR(SUMIFS(SALIDASBODEGA[CANTIDAD],SALIDASBODEGA[DESCRIPCIÓN],INVENTARIOBODEGA[[#This Row],[DESCRIPCIÓN]],SALIDASBODEGA[LOTE],INVENTARIOBODEGA[[#This Row],[LOTE]]),"-")</f>
        <v>4</v>
      </c>
      <c r="F26" s="8">
        <f>INVENTARIOBODEGA[[#This Row],[ENTRADAS]]-INVENTARIOBODEGA[[#This Row],[SALIDAS ]]</f>
        <v>39</v>
      </c>
      <c r="G26" s="1"/>
      <c r="H26" s="9">
        <f>INVENTARIOBODEGA[[#This Row],[COSTO UNITARIO]]*INVENTARIOBODEGA[[#This Row],[STOCK ACTUAL]]</f>
        <v>0</v>
      </c>
    </row>
    <row r="27" spans="1:8" ht="16" x14ac:dyDescent="0.2">
      <c r="A27" s="2" t="s">
        <v>241</v>
      </c>
      <c r="B27" s="2" t="s">
        <v>277</v>
      </c>
      <c r="C27" s="1" t="s">
        <v>93</v>
      </c>
      <c r="D27" s="8">
        <f>IFERROR(SUMIFS(ENTRADASBODEGA[CANTIDAD],ENTRADASBODEGA[DESCRIPCIÓN],INVENTARIOBODEGA[[#This Row],[DESCRIPCIÓN]],ENTRADASBODEGA[LOTE],INVENTARIOBODEGA[[#This Row],[LOTE]]),"-")</f>
        <v>119</v>
      </c>
      <c r="E27" s="8">
        <f>IFERROR(SUMIFS(SALIDASBODEGA[CANTIDAD],SALIDASBODEGA[DESCRIPCIÓN],INVENTARIOBODEGA[[#This Row],[DESCRIPCIÓN]],SALIDASBODEGA[LOTE],INVENTARIOBODEGA[[#This Row],[LOTE]]),"-")</f>
        <v>12</v>
      </c>
      <c r="F27" s="8">
        <f>INVENTARIOBODEGA[[#This Row],[ENTRADAS]]-INVENTARIOBODEGA[[#This Row],[SALIDAS ]]</f>
        <v>107</v>
      </c>
      <c r="G27" s="1"/>
      <c r="H27" s="9">
        <f>INVENTARIOBODEGA[[#This Row],[COSTO UNITARIO]]*INVENTARIOBODEGA[[#This Row],[STOCK ACTUAL]]</f>
        <v>0</v>
      </c>
    </row>
    <row r="28" spans="1:8" ht="16" x14ac:dyDescent="0.2">
      <c r="A28" s="2" t="s">
        <v>270</v>
      </c>
      <c r="B28" s="2" t="s">
        <v>139</v>
      </c>
      <c r="C28" s="1" t="s">
        <v>155</v>
      </c>
      <c r="D28" s="8">
        <f>IFERROR(SUMIFS(ENTRADASBODEGA[CANTIDAD],ENTRADASBODEGA[DESCRIPCIÓN],INVENTARIOBODEGA[[#This Row],[DESCRIPCIÓN]],ENTRADASBODEGA[LOTE],INVENTARIOBODEGA[[#This Row],[LOTE]]),"-")</f>
        <v>2</v>
      </c>
      <c r="E28" s="8">
        <f>IFERROR(SUMIFS(SALIDASBODEGA[CANTIDAD],SALIDASBODEGA[DESCRIPCIÓN],INVENTARIOBODEGA[[#This Row],[DESCRIPCIÓN]],SALIDASBODEGA[LOTE],INVENTARIOBODEGA[[#This Row],[LOTE]]),"-")</f>
        <v>0</v>
      </c>
      <c r="F28" s="8">
        <f>INVENTARIOBODEGA[[#This Row],[ENTRADAS]]-INVENTARIOBODEGA[[#This Row],[SALIDAS ]]</f>
        <v>2</v>
      </c>
      <c r="G28" s="1"/>
      <c r="H28" s="9">
        <f>INVENTARIOBODEGA[[#This Row],[COSTO UNITARIO]]*INVENTARIOBODEGA[[#This Row],[STOCK ACTUAL]]</f>
        <v>0</v>
      </c>
    </row>
    <row r="29" spans="1:8" ht="16" x14ac:dyDescent="0.2">
      <c r="A29" s="2" t="s">
        <v>269</v>
      </c>
      <c r="B29" s="2" t="s">
        <v>138</v>
      </c>
      <c r="C29" s="1" t="s">
        <v>155</v>
      </c>
      <c r="D29" s="8">
        <f>IFERROR(SUMIFS(ENTRADASBODEGA[CANTIDAD],ENTRADASBODEGA[DESCRIPCIÓN],INVENTARIOBODEGA[[#This Row],[DESCRIPCIÓN]],ENTRADASBODEGA[LOTE],INVENTARIOBODEGA[[#This Row],[LOTE]]),"-")</f>
        <v>4</v>
      </c>
      <c r="E29" s="8">
        <f>IFERROR(SUMIFS(SALIDASBODEGA[CANTIDAD],SALIDASBODEGA[DESCRIPCIÓN],INVENTARIOBODEGA[[#This Row],[DESCRIPCIÓN]],SALIDASBODEGA[LOTE],INVENTARIOBODEGA[[#This Row],[LOTE]]),"-")</f>
        <v>1</v>
      </c>
      <c r="F29" s="8">
        <f>INVENTARIOBODEGA[[#This Row],[ENTRADAS]]-INVENTARIOBODEGA[[#This Row],[SALIDAS ]]</f>
        <v>3</v>
      </c>
      <c r="G29" s="1"/>
      <c r="H29" s="9">
        <f>INVENTARIOBODEGA[[#This Row],[COSTO UNITARIO]]*INVENTARIOBODEGA[[#This Row],[STOCK ACTUAL]]</f>
        <v>0</v>
      </c>
    </row>
    <row r="30" spans="1:8" ht="16" x14ac:dyDescent="0.2">
      <c r="A30" s="2" t="s">
        <v>272</v>
      </c>
      <c r="B30" s="2" t="s">
        <v>141</v>
      </c>
      <c r="C30" s="1" t="s">
        <v>155</v>
      </c>
      <c r="D30" s="8">
        <f>IFERROR(SUMIFS(ENTRADASBODEGA[CANTIDAD],ENTRADASBODEGA[DESCRIPCIÓN],INVENTARIOBODEGA[[#This Row],[DESCRIPCIÓN]],ENTRADASBODEGA[LOTE],INVENTARIOBODEGA[[#This Row],[LOTE]]),"-")</f>
        <v>1</v>
      </c>
      <c r="E30" s="8">
        <f>IFERROR(SUMIFS(SALIDASBODEGA[CANTIDAD],SALIDASBODEGA[DESCRIPCIÓN],INVENTARIOBODEGA[[#This Row],[DESCRIPCIÓN]],SALIDASBODEGA[LOTE],INVENTARIOBODEGA[[#This Row],[LOTE]]),"-")</f>
        <v>0</v>
      </c>
      <c r="F30" s="8">
        <f>INVENTARIOBODEGA[[#This Row],[ENTRADAS]]-INVENTARIOBODEGA[[#This Row],[SALIDAS ]]</f>
        <v>1</v>
      </c>
      <c r="G30" s="1"/>
      <c r="H30" s="9">
        <f>INVENTARIOBODEGA[[#This Row],[COSTO UNITARIO]]*INVENTARIOBODEGA[[#This Row],[STOCK ACTUAL]]</f>
        <v>0</v>
      </c>
    </row>
    <row r="31" spans="1:8" ht="16" x14ac:dyDescent="0.2">
      <c r="A31" s="2" t="s">
        <v>273</v>
      </c>
      <c r="B31" s="2" t="s">
        <v>142</v>
      </c>
      <c r="C31" s="1" t="s">
        <v>155</v>
      </c>
      <c r="D31" s="8">
        <f>IFERROR(SUMIFS(ENTRADASBODEGA[CANTIDAD],ENTRADASBODEGA[DESCRIPCIÓN],INVENTARIOBODEGA[[#This Row],[DESCRIPCIÓN]],ENTRADASBODEGA[LOTE],INVENTARIOBODEGA[[#This Row],[LOTE]]),"-")</f>
        <v>1</v>
      </c>
      <c r="E31" s="8">
        <f>IFERROR(SUMIFS(SALIDASBODEGA[CANTIDAD],SALIDASBODEGA[DESCRIPCIÓN],INVENTARIOBODEGA[[#This Row],[DESCRIPCIÓN]],SALIDASBODEGA[LOTE],INVENTARIOBODEGA[[#This Row],[LOTE]]),"-")</f>
        <v>0</v>
      </c>
      <c r="F31" s="8">
        <f>INVENTARIOBODEGA[[#This Row],[ENTRADAS]]-INVENTARIOBODEGA[[#This Row],[SALIDAS ]]</f>
        <v>1</v>
      </c>
      <c r="G31" s="1"/>
      <c r="H31" s="9">
        <f>INVENTARIOBODEGA[[#This Row],[COSTO UNITARIO]]*INVENTARIOBODEGA[[#This Row],[STOCK ACTUAL]]</f>
        <v>0</v>
      </c>
    </row>
    <row r="32" spans="1:8" ht="16" x14ac:dyDescent="0.2">
      <c r="A32" s="2" t="s">
        <v>274</v>
      </c>
      <c r="B32" s="2" t="s">
        <v>143</v>
      </c>
      <c r="C32" s="1" t="s">
        <v>155</v>
      </c>
      <c r="D32" s="8">
        <f>IFERROR(SUMIFS(ENTRADASBODEGA[CANTIDAD],ENTRADASBODEGA[DESCRIPCIÓN],INVENTARIOBODEGA[[#This Row],[DESCRIPCIÓN]],ENTRADASBODEGA[LOTE],INVENTARIOBODEGA[[#This Row],[LOTE]]),"-")</f>
        <v>3</v>
      </c>
      <c r="E32" s="8">
        <f>IFERROR(SUMIFS(SALIDASBODEGA[CANTIDAD],SALIDASBODEGA[DESCRIPCIÓN],INVENTARIOBODEGA[[#This Row],[DESCRIPCIÓN]],SALIDASBODEGA[LOTE],INVENTARIOBODEGA[[#This Row],[LOTE]]),"-")</f>
        <v>0</v>
      </c>
      <c r="F32" s="8">
        <f>INVENTARIOBODEGA[[#This Row],[ENTRADAS]]-INVENTARIOBODEGA[[#This Row],[SALIDAS ]]</f>
        <v>3</v>
      </c>
      <c r="G32" s="1"/>
      <c r="H32" s="9">
        <f>INVENTARIOBODEGA[[#This Row],[COSTO UNITARIO]]*INVENTARIOBODEGA[[#This Row],[STOCK ACTUAL]]</f>
        <v>0</v>
      </c>
    </row>
    <row r="33" spans="1:8" ht="16" x14ac:dyDescent="0.2">
      <c r="A33" s="2" t="s">
        <v>271</v>
      </c>
      <c r="B33" s="2" t="s">
        <v>140</v>
      </c>
      <c r="C33" s="1" t="s">
        <v>155</v>
      </c>
      <c r="D33" s="8">
        <f>IFERROR(SUMIFS(ENTRADASBODEGA[CANTIDAD],ENTRADASBODEGA[DESCRIPCIÓN],INVENTARIOBODEGA[[#This Row],[DESCRIPCIÓN]],ENTRADASBODEGA[LOTE],INVENTARIOBODEGA[[#This Row],[LOTE]]),"-")</f>
        <v>4</v>
      </c>
      <c r="E33" s="8">
        <f>IFERROR(SUMIFS(SALIDASBODEGA[CANTIDAD],SALIDASBODEGA[DESCRIPCIÓN],INVENTARIOBODEGA[[#This Row],[DESCRIPCIÓN]],SALIDASBODEGA[LOTE],INVENTARIOBODEGA[[#This Row],[LOTE]]),"-")</f>
        <v>0</v>
      </c>
      <c r="F33" s="8">
        <f>INVENTARIOBODEGA[[#This Row],[ENTRADAS]]-INVENTARIOBODEGA[[#This Row],[SALIDAS ]]</f>
        <v>4</v>
      </c>
      <c r="G33" s="1"/>
      <c r="H33" s="9">
        <f>INVENTARIOBODEGA[[#This Row],[COSTO UNITARIO]]*INVENTARIOBODEGA[[#This Row],[STOCK ACTUAL]]</f>
        <v>0</v>
      </c>
    </row>
    <row r="34" spans="1:8" ht="16" x14ac:dyDescent="0.2">
      <c r="A34" s="2" t="s">
        <v>222</v>
      </c>
      <c r="B34" s="2" t="s">
        <v>95</v>
      </c>
      <c r="C34" s="1" t="s">
        <v>90</v>
      </c>
      <c r="D34" s="8">
        <f>IFERROR(SUMIFS(ENTRADASBODEGA[CANTIDAD],ENTRADASBODEGA[DESCRIPCIÓN],INVENTARIOBODEGA[[#This Row],[DESCRIPCIÓN]],ENTRADASBODEGA[LOTE],INVENTARIOBODEGA[[#This Row],[LOTE]]),"-")</f>
        <v>29</v>
      </c>
      <c r="E34" s="8">
        <f>IFERROR(SUMIFS(SALIDASBODEGA[CANTIDAD],SALIDASBODEGA[DESCRIPCIÓN],INVENTARIOBODEGA[[#This Row],[DESCRIPCIÓN]],SALIDASBODEGA[LOTE],INVENTARIOBODEGA[[#This Row],[LOTE]]),"-")</f>
        <v>8</v>
      </c>
      <c r="F34" s="8">
        <f>INVENTARIOBODEGA[[#This Row],[ENTRADAS]]-INVENTARIOBODEGA[[#This Row],[SALIDAS ]]</f>
        <v>21</v>
      </c>
      <c r="G34" s="1"/>
      <c r="H34" s="9">
        <f>INVENTARIOBODEGA[[#This Row],[COSTO UNITARIO]]*INVENTARIOBODEGA[[#This Row],[STOCK ACTUAL]]</f>
        <v>0</v>
      </c>
    </row>
    <row r="35" spans="1:8" ht="16" x14ac:dyDescent="0.2">
      <c r="A35" s="2" t="s">
        <v>214</v>
      </c>
      <c r="B35" s="2" t="s">
        <v>72</v>
      </c>
      <c r="C35" s="1" t="s">
        <v>90</v>
      </c>
      <c r="D35" s="8">
        <f>IFERROR(SUMIFS(ENTRADASBODEGA[CANTIDAD],ENTRADASBODEGA[DESCRIPCIÓN],INVENTARIOBODEGA[[#This Row],[DESCRIPCIÓN]],ENTRADASBODEGA[LOTE],INVENTARIOBODEGA[[#This Row],[LOTE]]),"-")</f>
        <v>13</v>
      </c>
      <c r="E35" s="8">
        <f>IFERROR(SUMIFS(SALIDASBODEGA[CANTIDAD],SALIDASBODEGA[DESCRIPCIÓN],INVENTARIOBODEGA[[#This Row],[DESCRIPCIÓN]],SALIDASBODEGA[LOTE],INVENTARIOBODEGA[[#This Row],[LOTE]]),"-")</f>
        <v>0</v>
      </c>
      <c r="F35" s="8">
        <f>INVENTARIOBODEGA[[#This Row],[ENTRADAS]]-INVENTARIOBODEGA[[#This Row],[SALIDAS ]]</f>
        <v>13</v>
      </c>
      <c r="G35" s="1"/>
      <c r="H35" s="9">
        <f>INVENTARIOBODEGA[[#This Row],[COSTO UNITARIO]]*INVENTARIOBODEGA[[#This Row],[STOCK ACTUAL]]</f>
        <v>0</v>
      </c>
    </row>
    <row r="36" spans="1:8" ht="16" x14ac:dyDescent="0.2">
      <c r="A36" s="2" t="s">
        <v>221</v>
      </c>
      <c r="B36" s="2" t="s">
        <v>94</v>
      </c>
      <c r="C36" s="1" t="s">
        <v>90</v>
      </c>
      <c r="D36" s="8">
        <f>IFERROR(SUMIFS(ENTRADASBODEGA[CANTIDAD],ENTRADASBODEGA[DESCRIPCIÓN],INVENTARIOBODEGA[[#This Row],[DESCRIPCIÓN]],ENTRADASBODEGA[LOTE],INVENTARIOBODEGA[[#This Row],[LOTE]]),"-")</f>
        <v>79</v>
      </c>
      <c r="E36" s="8">
        <f>IFERROR(SUMIFS(SALIDASBODEGA[CANTIDAD],SALIDASBODEGA[DESCRIPCIÓN],INVENTARIOBODEGA[[#This Row],[DESCRIPCIÓN]],SALIDASBODEGA[LOTE],INVENTARIOBODEGA[[#This Row],[LOTE]]),"-")</f>
        <v>0</v>
      </c>
      <c r="F36" s="8">
        <f>INVENTARIOBODEGA[[#This Row],[ENTRADAS]]-INVENTARIOBODEGA[[#This Row],[SALIDAS ]]</f>
        <v>79</v>
      </c>
      <c r="G36" s="1"/>
      <c r="H36" s="9">
        <f>INVENTARIOBODEGA[[#This Row],[COSTO UNITARIO]]*INVENTARIOBODEGA[[#This Row],[STOCK ACTUAL]]</f>
        <v>0</v>
      </c>
    </row>
    <row r="37" spans="1:8" ht="16" x14ac:dyDescent="0.2">
      <c r="A37" s="2" t="s">
        <v>563</v>
      </c>
      <c r="B37" s="2" t="s">
        <v>531</v>
      </c>
      <c r="C37" s="1" t="s">
        <v>151</v>
      </c>
      <c r="D37" s="8">
        <f>IFERROR(SUMIFS(ENTRADASBODEGA[CANTIDAD],ENTRADASBODEGA[DESCRIPCIÓN],INVENTARIOBODEGA[[#This Row],[DESCRIPCIÓN]],ENTRADASBODEGA[LOTE],INVENTARIOBODEGA[[#This Row],[LOTE]]),"-")</f>
        <v>10</v>
      </c>
      <c r="E37" s="8">
        <f>IFERROR(SUMIFS(SALIDASBODEGA[CANTIDAD],SALIDASBODEGA[DESCRIPCIÓN],INVENTARIOBODEGA[[#This Row],[DESCRIPCIÓN]],SALIDASBODEGA[LOTE],INVENTARIOBODEGA[[#This Row],[LOTE]]),"-")</f>
        <v>0</v>
      </c>
      <c r="F37" s="8">
        <f>INVENTARIOBODEGA[[#This Row],[ENTRADAS]]-INVENTARIOBODEGA[[#This Row],[SALIDAS ]]</f>
        <v>10</v>
      </c>
      <c r="G37" s="1"/>
      <c r="H37" s="9">
        <f>INVENTARIOBODEGA[[#This Row],[COSTO UNITARIO]]*INVENTARIOBODEGA[[#This Row],[STOCK ACTUAL]]</f>
        <v>0</v>
      </c>
    </row>
    <row r="38" spans="1:8" ht="16" x14ac:dyDescent="0.2">
      <c r="A38" s="2" t="s">
        <v>562</v>
      </c>
      <c r="B38" s="2" t="s">
        <v>530</v>
      </c>
      <c r="C38" s="1" t="s">
        <v>151</v>
      </c>
      <c r="D38" s="8">
        <f>IFERROR(SUMIFS(ENTRADASBODEGA[CANTIDAD],ENTRADASBODEGA[DESCRIPCIÓN],INVENTARIOBODEGA[[#This Row],[DESCRIPCIÓN]],ENTRADASBODEGA[LOTE],INVENTARIOBODEGA[[#This Row],[LOTE]]),"-")</f>
        <v>15</v>
      </c>
      <c r="E38" s="8">
        <f>IFERROR(SUMIFS(SALIDASBODEGA[CANTIDAD],SALIDASBODEGA[DESCRIPCIÓN],INVENTARIOBODEGA[[#This Row],[DESCRIPCIÓN]],SALIDASBODEGA[LOTE],INVENTARIOBODEGA[[#This Row],[LOTE]]),"-")</f>
        <v>0</v>
      </c>
      <c r="F38" s="8">
        <f>INVENTARIOBODEGA[[#This Row],[ENTRADAS]]-INVENTARIOBODEGA[[#This Row],[SALIDAS ]]</f>
        <v>15</v>
      </c>
      <c r="G38" s="1"/>
      <c r="H38" s="9">
        <f>INVENTARIOBODEGA[[#This Row],[COSTO UNITARIO]]*INVENTARIOBODEGA[[#This Row],[STOCK ACTUAL]]</f>
        <v>0</v>
      </c>
    </row>
    <row r="39" spans="1:8" ht="16" x14ac:dyDescent="0.2">
      <c r="A39" s="2" t="s">
        <v>255</v>
      </c>
      <c r="B39" s="2" t="s">
        <v>125</v>
      </c>
      <c r="C39" s="1" t="s">
        <v>151</v>
      </c>
      <c r="D39" s="8">
        <f>IFERROR(SUMIFS(ENTRADASBODEGA[CANTIDAD],ENTRADASBODEGA[DESCRIPCIÓN],INVENTARIOBODEGA[[#This Row],[DESCRIPCIÓN]],ENTRADASBODEGA[LOTE],INVENTARIOBODEGA[[#This Row],[LOTE]]),"-")</f>
        <v>10</v>
      </c>
      <c r="E39" s="8">
        <f>IFERROR(SUMIFS(SALIDASBODEGA[CANTIDAD],SALIDASBODEGA[DESCRIPCIÓN],INVENTARIOBODEGA[[#This Row],[DESCRIPCIÓN]],SALIDASBODEGA[LOTE],INVENTARIOBODEGA[[#This Row],[LOTE]]),"-")</f>
        <v>0</v>
      </c>
      <c r="F39" s="8">
        <f>INVENTARIOBODEGA[[#This Row],[ENTRADAS]]-INVENTARIOBODEGA[[#This Row],[SALIDAS ]]</f>
        <v>10</v>
      </c>
      <c r="G39" s="1"/>
      <c r="H39" s="9">
        <f>INVENTARIOBODEGA[[#This Row],[COSTO UNITARIO]]*INVENTARIOBODEGA[[#This Row],[STOCK ACTUAL]]</f>
        <v>0</v>
      </c>
    </row>
    <row r="40" spans="1:8" ht="16" x14ac:dyDescent="0.2">
      <c r="A40" s="2" t="s">
        <v>567</v>
      </c>
      <c r="B40" s="2" t="s">
        <v>535</v>
      </c>
      <c r="C40" s="1" t="s">
        <v>466</v>
      </c>
      <c r="D40" s="8">
        <f>IFERROR(SUMIFS(ENTRADASBODEGA[CANTIDAD],ENTRADASBODEGA[DESCRIPCIÓN],INVENTARIOBODEGA[[#This Row],[DESCRIPCIÓN]],ENTRADASBODEGA[LOTE],INVENTARIOBODEGA[[#This Row],[LOTE]]),"-")</f>
        <v>1</v>
      </c>
      <c r="E40" s="8">
        <f>IFERROR(SUMIFS(SALIDASBODEGA[CANTIDAD],SALIDASBODEGA[DESCRIPCIÓN],INVENTARIOBODEGA[[#This Row],[DESCRIPCIÓN]],SALIDASBODEGA[LOTE],INVENTARIOBODEGA[[#This Row],[LOTE]]),"-")</f>
        <v>0</v>
      </c>
      <c r="F40" s="8">
        <f>INVENTARIOBODEGA[[#This Row],[ENTRADAS]]-INVENTARIOBODEGA[[#This Row],[SALIDAS ]]</f>
        <v>1</v>
      </c>
      <c r="G40" s="1"/>
      <c r="H40" s="9">
        <f>INVENTARIOBODEGA[[#This Row],[COSTO UNITARIO]]*INVENTARIOBODEGA[[#This Row],[STOCK ACTUAL]]</f>
        <v>0</v>
      </c>
    </row>
    <row r="41" spans="1:8" ht="16" x14ac:dyDescent="0.2">
      <c r="A41" s="2" t="s">
        <v>565</v>
      </c>
      <c r="B41" s="2" t="s">
        <v>533</v>
      </c>
      <c r="C41" s="1" t="s">
        <v>466</v>
      </c>
      <c r="D41" s="8">
        <f>IFERROR(SUMIFS(ENTRADASBODEGA[CANTIDAD],ENTRADASBODEGA[DESCRIPCIÓN],INVENTARIOBODEGA[[#This Row],[DESCRIPCIÓN]],ENTRADASBODEGA[LOTE],INVENTARIOBODEGA[[#This Row],[LOTE]]),"-")</f>
        <v>1</v>
      </c>
      <c r="E41" s="8">
        <f>IFERROR(SUMIFS(SALIDASBODEGA[CANTIDAD],SALIDASBODEGA[DESCRIPCIÓN],INVENTARIOBODEGA[[#This Row],[DESCRIPCIÓN]],SALIDASBODEGA[LOTE],INVENTARIOBODEGA[[#This Row],[LOTE]]),"-")</f>
        <v>0</v>
      </c>
      <c r="F41" s="8">
        <f>INVENTARIOBODEGA[[#This Row],[ENTRADAS]]-INVENTARIOBODEGA[[#This Row],[SALIDAS ]]</f>
        <v>1</v>
      </c>
      <c r="G41" s="1"/>
      <c r="H41" s="9">
        <f>INVENTARIOBODEGA[[#This Row],[COSTO UNITARIO]]*INVENTARIOBODEGA[[#This Row],[STOCK ACTUAL]]</f>
        <v>0</v>
      </c>
    </row>
    <row r="42" spans="1:8" ht="16" x14ac:dyDescent="0.2">
      <c r="A42" s="2" t="s">
        <v>564</v>
      </c>
      <c r="B42" s="2" t="s">
        <v>532</v>
      </c>
      <c r="C42" s="1" t="s">
        <v>465</v>
      </c>
      <c r="D42" s="8">
        <f>IFERROR(SUMIFS(ENTRADASBODEGA[CANTIDAD],ENTRADASBODEGA[DESCRIPCIÓN],INVENTARIOBODEGA[[#This Row],[DESCRIPCIÓN]],ENTRADASBODEGA[LOTE],INVENTARIOBODEGA[[#This Row],[LOTE]]),"-")</f>
        <v>10</v>
      </c>
      <c r="E42" s="8">
        <f>IFERROR(SUMIFS(SALIDASBODEGA[CANTIDAD],SALIDASBODEGA[DESCRIPCIÓN],INVENTARIOBODEGA[[#This Row],[DESCRIPCIÓN]],SALIDASBODEGA[LOTE],INVENTARIOBODEGA[[#This Row],[LOTE]]),"-")</f>
        <v>0</v>
      </c>
      <c r="F42" s="8">
        <f>INVENTARIOBODEGA[[#This Row],[ENTRADAS]]-INVENTARIOBODEGA[[#This Row],[SALIDAS ]]</f>
        <v>10</v>
      </c>
      <c r="G42" s="1"/>
      <c r="H42" s="9">
        <f>INVENTARIOBODEGA[[#This Row],[COSTO UNITARIO]]*INVENTARIOBODEGA[[#This Row],[STOCK ACTUAL]]</f>
        <v>0</v>
      </c>
    </row>
    <row r="43" spans="1:8" ht="16" x14ac:dyDescent="0.2">
      <c r="A43" s="2" t="s">
        <v>568</v>
      </c>
      <c r="B43" s="2" t="s">
        <v>536</v>
      </c>
      <c r="C43" s="1" t="s">
        <v>466</v>
      </c>
      <c r="D43" s="8">
        <f>IFERROR(SUMIFS(ENTRADASBODEGA[CANTIDAD],ENTRADASBODEGA[DESCRIPCIÓN],INVENTARIOBODEGA[[#This Row],[DESCRIPCIÓN]],ENTRADASBODEGA[LOTE],INVENTARIOBODEGA[[#This Row],[LOTE]]),"-")</f>
        <v>3</v>
      </c>
      <c r="E43" s="8">
        <f>IFERROR(SUMIFS(SALIDASBODEGA[CANTIDAD],SALIDASBODEGA[DESCRIPCIÓN],INVENTARIOBODEGA[[#This Row],[DESCRIPCIÓN]],SALIDASBODEGA[LOTE],INVENTARIOBODEGA[[#This Row],[LOTE]]),"-")</f>
        <v>0</v>
      </c>
      <c r="F43" s="8">
        <f>INVENTARIOBODEGA[[#This Row],[ENTRADAS]]-INVENTARIOBODEGA[[#This Row],[SALIDAS ]]</f>
        <v>3</v>
      </c>
      <c r="G43" s="1"/>
      <c r="H43" s="9">
        <f>INVENTARIOBODEGA[[#This Row],[COSTO UNITARIO]]*INVENTARIOBODEGA[[#This Row],[STOCK ACTUAL]]</f>
        <v>0</v>
      </c>
    </row>
    <row r="44" spans="1:8" ht="16" x14ac:dyDescent="0.2">
      <c r="A44" s="2" t="s">
        <v>566</v>
      </c>
      <c r="B44" s="2" t="s">
        <v>534</v>
      </c>
      <c r="C44" s="1" t="s">
        <v>466</v>
      </c>
      <c r="D44" s="8">
        <f>IFERROR(SUMIFS(ENTRADASBODEGA[CANTIDAD],ENTRADASBODEGA[DESCRIPCIÓN],INVENTARIOBODEGA[[#This Row],[DESCRIPCIÓN]],ENTRADASBODEGA[LOTE],INVENTARIOBODEGA[[#This Row],[LOTE]]),"-")</f>
        <v>3</v>
      </c>
      <c r="E44" s="8">
        <f>IFERROR(SUMIFS(SALIDASBODEGA[CANTIDAD],SALIDASBODEGA[DESCRIPCIÓN],INVENTARIOBODEGA[[#This Row],[DESCRIPCIÓN]],SALIDASBODEGA[LOTE],INVENTARIOBODEGA[[#This Row],[LOTE]]),"-")</f>
        <v>0</v>
      </c>
      <c r="F44" s="8">
        <f>INVENTARIOBODEGA[[#This Row],[ENTRADAS]]-INVENTARIOBODEGA[[#This Row],[SALIDAS ]]</f>
        <v>3</v>
      </c>
      <c r="G44" s="1"/>
      <c r="H44" s="9">
        <f>INVENTARIOBODEGA[[#This Row],[COSTO UNITARIO]]*INVENTARIOBODEGA[[#This Row],[STOCK ACTUAL]]</f>
        <v>0</v>
      </c>
    </row>
    <row r="45" spans="1:8" ht="16" x14ac:dyDescent="0.2">
      <c r="A45" s="2" t="s">
        <v>569</v>
      </c>
      <c r="B45" s="2" t="s">
        <v>537</v>
      </c>
      <c r="C45" s="1" t="s">
        <v>90</v>
      </c>
      <c r="D45" s="8">
        <f>IFERROR(SUMIFS(ENTRADASBODEGA[CANTIDAD],ENTRADASBODEGA[DESCRIPCIÓN],INVENTARIOBODEGA[[#This Row],[DESCRIPCIÓN]],ENTRADASBODEGA[LOTE],INVENTARIOBODEGA[[#This Row],[LOTE]]),"-")</f>
        <v>50</v>
      </c>
      <c r="E45" s="8">
        <f>IFERROR(SUMIFS(SALIDASBODEGA[CANTIDAD],SALIDASBODEGA[DESCRIPCIÓN],INVENTARIOBODEGA[[#This Row],[DESCRIPCIÓN]],SALIDASBODEGA[LOTE],INVENTARIOBODEGA[[#This Row],[LOTE]]),"-")</f>
        <v>0</v>
      </c>
      <c r="F45" s="8">
        <f>INVENTARIOBODEGA[[#This Row],[ENTRADAS]]-INVENTARIOBODEGA[[#This Row],[SALIDAS ]]</f>
        <v>50</v>
      </c>
      <c r="G45" s="1"/>
      <c r="H45" s="9">
        <f>INVENTARIOBODEGA[[#This Row],[COSTO UNITARIO]]*INVENTARIOBODEGA[[#This Row],[STOCK ACTUAL]]</f>
        <v>0</v>
      </c>
    </row>
    <row r="46" spans="1:8" ht="16" x14ac:dyDescent="0.2">
      <c r="A46" s="2" t="s">
        <v>260</v>
      </c>
      <c r="B46" s="2" t="s">
        <v>129</v>
      </c>
      <c r="C46" s="1" t="s">
        <v>90</v>
      </c>
      <c r="D46" s="8">
        <f>IFERROR(SUMIFS(ENTRADASBODEGA[CANTIDAD],ENTRADASBODEGA[DESCRIPCIÓN],INVENTARIOBODEGA[[#This Row],[DESCRIPCIÓN]],ENTRADASBODEGA[LOTE],INVENTARIOBODEGA[[#This Row],[LOTE]]),"-")</f>
        <v>2</v>
      </c>
      <c r="E46" s="8">
        <f>IFERROR(SUMIFS(SALIDASBODEGA[CANTIDAD],SALIDASBODEGA[DESCRIPCIÓN],INVENTARIOBODEGA[[#This Row],[DESCRIPCIÓN]],SALIDASBODEGA[LOTE],INVENTARIOBODEGA[[#This Row],[LOTE]]),"-")</f>
        <v>0</v>
      </c>
      <c r="F46" s="8">
        <f>INVENTARIOBODEGA[[#This Row],[ENTRADAS]]-INVENTARIOBODEGA[[#This Row],[SALIDAS ]]</f>
        <v>2</v>
      </c>
      <c r="G46" s="1"/>
      <c r="H46" s="9">
        <f>INVENTARIOBODEGA[[#This Row],[COSTO UNITARIO]]*INVENTARIOBODEGA[[#This Row],[STOCK ACTUAL]]</f>
        <v>0</v>
      </c>
    </row>
    <row r="47" spans="1:8" ht="16" x14ac:dyDescent="0.2">
      <c r="A47" s="2" t="s">
        <v>248</v>
      </c>
      <c r="B47" s="2" t="s">
        <v>118</v>
      </c>
      <c r="C47" s="1" t="s">
        <v>90</v>
      </c>
      <c r="D47" s="8">
        <f>IFERROR(SUMIFS(ENTRADASBODEGA[CANTIDAD],ENTRADASBODEGA[DESCRIPCIÓN],INVENTARIOBODEGA[[#This Row],[DESCRIPCIÓN]],ENTRADASBODEGA[LOTE],INVENTARIOBODEGA[[#This Row],[LOTE]]),"-")</f>
        <v>10</v>
      </c>
      <c r="E47" s="8">
        <f>IFERROR(SUMIFS(SALIDASBODEGA[CANTIDAD],SALIDASBODEGA[DESCRIPCIÓN],INVENTARIOBODEGA[[#This Row],[DESCRIPCIÓN]],SALIDASBODEGA[LOTE],INVENTARIOBODEGA[[#This Row],[LOTE]]),"-")</f>
        <v>0</v>
      </c>
      <c r="F47" s="8">
        <f>INVENTARIOBODEGA[[#This Row],[ENTRADAS]]-INVENTARIOBODEGA[[#This Row],[SALIDAS ]]</f>
        <v>10</v>
      </c>
      <c r="G47" s="1"/>
      <c r="H47" s="9">
        <f>INVENTARIOBODEGA[[#This Row],[COSTO UNITARIO]]*INVENTARIOBODEGA[[#This Row],[STOCK ACTUAL]]</f>
        <v>0</v>
      </c>
    </row>
    <row r="48" spans="1:8" ht="16" x14ac:dyDescent="0.2">
      <c r="A48" s="2" t="s">
        <v>213</v>
      </c>
      <c r="B48" s="2" t="s">
        <v>71</v>
      </c>
      <c r="C48" s="1" t="s">
        <v>89</v>
      </c>
      <c r="D48" s="8">
        <f>IFERROR(SUMIFS(ENTRADASBODEGA[CANTIDAD],ENTRADASBODEGA[DESCRIPCIÓN],INVENTARIOBODEGA[[#This Row],[DESCRIPCIÓN]],ENTRADASBODEGA[LOTE],INVENTARIOBODEGA[[#This Row],[LOTE]]),"-")</f>
        <v>7</v>
      </c>
      <c r="E48" s="8">
        <f>IFERROR(SUMIFS(SALIDASBODEGA[CANTIDAD],SALIDASBODEGA[DESCRIPCIÓN],INVENTARIOBODEGA[[#This Row],[DESCRIPCIÓN]],SALIDASBODEGA[LOTE],INVENTARIOBODEGA[[#This Row],[LOTE]]),"-")</f>
        <v>0</v>
      </c>
      <c r="F48" s="8">
        <f>INVENTARIOBODEGA[[#This Row],[ENTRADAS]]-INVENTARIOBODEGA[[#This Row],[SALIDAS ]]</f>
        <v>7</v>
      </c>
      <c r="G48" s="1"/>
      <c r="H48" s="9">
        <f>INVENTARIOBODEGA[[#This Row],[COSTO UNITARIO]]*INVENTARIOBODEGA[[#This Row],[STOCK ACTUAL]]</f>
        <v>0</v>
      </c>
    </row>
    <row r="49" spans="1:8" ht="16" x14ac:dyDescent="0.2">
      <c r="A49" s="2" t="s">
        <v>268</v>
      </c>
      <c r="B49" s="2" t="s">
        <v>137</v>
      </c>
      <c r="C49" s="1" t="s">
        <v>154</v>
      </c>
      <c r="D49" s="8">
        <f>IFERROR(SUMIFS(ENTRADASBODEGA[CANTIDAD],ENTRADASBODEGA[DESCRIPCIÓN],INVENTARIOBODEGA[[#This Row],[DESCRIPCIÓN]],ENTRADASBODEGA[LOTE],INVENTARIOBODEGA[[#This Row],[LOTE]]),"-")</f>
        <v>3</v>
      </c>
      <c r="E49" s="8">
        <f>IFERROR(SUMIFS(SALIDASBODEGA[CANTIDAD],SALIDASBODEGA[DESCRIPCIÓN],INVENTARIOBODEGA[[#This Row],[DESCRIPCIÓN]],SALIDASBODEGA[LOTE],INVENTARIOBODEGA[[#This Row],[LOTE]]),"-")</f>
        <v>0</v>
      </c>
      <c r="F49" s="8">
        <f>INVENTARIOBODEGA[[#This Row],[ENTRADAS]]-INVENTARIOBODEGA[[#This Row],[SALIDAS ]]</f>
        <v>3</v>
      </c>
      <c r="G49" s="1"/>
      <c r="H49" s="9">
        <f>INVENTARIOBODEGA[[#This Row],[COSTO UNITARIO]]*INVENTARIOBODEGA[[#This Row],[STOCK ACTUAL]]</f>
        <v>0</v>
      </c>
    </row>
    <row r="50" spans="1:8" ht="16" x14ac:dyDescent="0.2">
      <c r="A50" s="2" t="s">
        <v>188</v>
      </c>
      <c r="B50" s="2" t="s">
        <v>62</v>
      </c>
      <c r="C50" s="1" t="s">
        <v>82</v>
      </c>
      <c r="D50" s="8">
        <f>IFERROR(SUMIFS(ENTRADASBODEGA[CANTIDAD],ENTRADASBODEGA[DESCRIPCIÓN],INVENTARIOBODEGA[[#This Row],[DESCRIPCIÓN]],ENTRADASBODEGA[LOTE],INVENTARIOBODEGA[[#This Row],[LOTE]]),"-")</f>
        <v>5</v>
      </c>
      <c r="E50" s="8">
        <f>IFERROR(SUMIFS(SALIDASBODEGA[CANTIDAD],SALIDASBODEGA[DESCRIPCIÓN],INVENTARIOBODEGA[[#This Row],[DESCRIPCIÓN]],SALIDASBODEGA[LOTE],INVENTARIOBODEGA[[#This Row],[LOTE]]),"-")</f>
        <v>0</v>
      </c>
      <c r="F50" s="8">
        <f>INVENTARIOBODEGA[[#This Row],[ENTRADAS]]-INVENTARIOBODEGA[[#This Row],[SALIDAS ]]</f>
        <v>5</v>
      </c>
      <c r="G50" s="1"/>
      <c r="H50" s="9">
        <f>INVENTARIOBODEGA[[#This Row],[COSTO UNITARIO]]*INVENTARIOBODEGA[[#This Row],[STOCK ACTUAL]]</f>
        <v>0</v>
      </c>
    </row>
    <row r="51" spans="1:8" ht="16" x14ac:dyDescent="0.2">
      <c r="A51" s="2" t="s">
        <v>199</v>
      </c>
      <c r="B51" s="2" t="s">
        <v>54</v>
      </c>
      <c r="C51" s="1" t="s">
        <v>82</v>
      </c>
      <c r="D51" s="8">
        <f>IFERROR(SUMIFS(ENTRADASBODEGA[CANTIDAD],ENTRADASBODEGA[DESCRIPCIÓN],INVENTARIOBODEGA[[#This Row],[DESCRIPCIÓN]],ENTRADASBODEGA[LOTE],INVENTARIOBODEGA[[#This Row],[LOTE]]),"-")</f>
        <v>6</v>
      </c>
      <c r="E51" s="8">
        <f>IFERROR(SUMIFS(SALIDASBODEGA[CANTIDAD],SALIDASBODEGA[DESCRIPCIÓN],INVENTARIOBODEGA[[#This Row],[DESCRIPCIÓN]],SALIDASBODEGA[LOTE],INVENTARIOBODEGA[[#This Row],[LOTE]]),"-")</f>
        <v>0</v>
      </c>
      <c r="F51" s="8">
        <f>INVENTARIOBODEGA[[#This Row],[ENTRADAS]]-INVENTARIOBODEGA[[#This Row],[SALIDAS ]]</f>
        <v>6</v>
      </c>
      <c r="G51" s="1"/>
      <c r="H51" s="9">
        <f>INVENTARIOBODEGA[[#This Row],[COSTO UNITARIO]]*INVENTARIOBODEGA[[#This Row],[STOCK ACTUAL]]</f>
        <v>0</v>
      </c>
    </row>
    <row r="52" spans="1:8" ht="16" x14ac:dyDescent="0.2">
      <c r="A52" s="2" t="s">
        <v>193</v>
      </c>
      <c r="B52" s="2" t="s">
        <v>48</v>
      </c>
      <c r="C52" s="1" t="s">
        <v>82</v>
      </c>
      <c r="D52" s="8">
        <f>IFERROR(SUMIFS(ENTRADASBODEGA[CANTIDAD],ENTRADASBODEGA[DESCRIPCIÓN],INVENTARIOBODEGA[[#This Row],[DESCRIPCIÓN]],ENTRADASBODEGA[LOTE],INVENTARIOBODEGA[[#This Row],[LOTE]]),"-")</f>
        <v>2</v>
      </c>
      <c r="E52" s="8">
        <f>IFERROR(SUMIFS(SALIDASBODEGA[CANTIDAD],SALIDASBODEGA[DESCRIPCIÓN],INVENTARIOBODEGA[[#This Row],[DESCRIPCIÓN]],SALIDASBODEGA[LOTE],INVENTARIOBODEGA[[#This Row],[LOTE]]),"-")</f>
        <v>0</v>
      </c>
      <c r="F52" s="8">
        <f>INVENTARIOBODEGA[[#This Row],[ENTRADAS]]-INVENTARIOBODEGA[[#This Row],[SALIDAS ]]</f>
        <v>2</v>
      </c>
      <c r="G52" s="1"/>
      <c r="H52" s="9">
        <f>INVENTARIOBODEGA[[#This Row],[COSTO UNITARIO]]*INVENTARIOBODEGA[[#This Row],[STOCK ACTUAL]]</f>
        <v>0</v>
      </c>
    </row>
    <row r="53" spans="1:8" ht="16" x14ac:dyDescent="0.2">
      <c r="A53" s="2" t="s">
        <v>189</v>
      </c>
      <c r="B53" s="2" t="s">
        <v>63</v>
      </c>
      <c r="C53" s="1" t="s">
        <v>82</v>
      </c>
      <c r="D53" s="8">
        <f>IFERROR(SUMIFS(ENTRADASBODEGA[CANTIDAD],ENTRADASBODEGA[DESCRIPCIÓN],INVENTARIOBODEGA[[#This Row],[DESCRIPCIÓN]],ENTRADASBODEGA[LOTE],INVENTARIOBODEGA[[#This Row],[LOTE]]),"-")</f>
        <v>7</v>
      </c>
      <c r="E53" s="8">
        <f>IFERROR(SUMIFS(SALIDASBODEGA[CANTIDAD],SALIDASBODEGA[DESCRIPCIÓN],INVENTARIOBODEGA[[#This Row],[DESCRIPCIÓN]],SALIDASBODEGA[LOTE],INVENTARIOBODEGA[[#This Row],[LOTE]]),"-")</f>
        <v>2</v>
      </c>
      <c r="F53" s="8">
        <f>INVENTARIOBODEGA[[#This Row],[ENTRADAS]]-INVENTARIOBODEGA[[#This Row],[SALIDAS ]]</f>
        <v>5</v>
      </c>
      <c r="G53" s="1"/>
      <c r="H53" s="9">
        <f>INVENTARIOBODEGA[[#This Row],[COSTO UNITARIO]]*INVENTARIOBODEGA[[#This Row],[STOCK ACTUAL]]</f>
        <v>0</v>
      </c>
    </row>
    <row r="54" spans="1:8" ht="16" x14ac:dyDescent="0.2">
      <c r="A54" s="2" t="s">
        <v>196</v>
      </c>
      <c r="B54" s="2" t="s">
        <v>51</v>
      </c>
      <c r="C54" s="1" t="s">
        <v>82</v>
      </c>
      <c r="D54" s="8">
        <f>IFERROR(SUMIFS(ENTRADASBODEGA[CANTIDAD],ENTRADASBODEGA[DESCRIPCIÓN],INVENTARIOBODEGA[[#This Row],[DESCRIPCIÓN]],ENTRADASBODEGA[LOTE],INVENTARIOBODEGA[[#This Row],[LOTE]]),"-")</f>
        <v>2</v>
      </c>
      <c r="E54" s="8">
        <f>IFERROR(SUMIFS(SALIDASBODEGA[CANTIDAD],SALIDASBODEGA[DESCRIPCIÓN],INVENTARIOBODEGA[[#This Row],[DESCRIPCIÓN]],SALIDASBODEGA[LOTE],INVENTARIOBODEGA[[#This Row],[LOTE]]),"-")</f>
        <v>0</v>
      </c>
      <c r="F54" s="8">
        <f>INVENTARIOBODEGA[[#This Row],[ENTRADAS]]-INVENTARIOBODEGA[[#This Row],[SALIDAS ]]</f>
        <v>2</v>
      </c>
      <c r="G54" s="1"/>
      <c r="H54" s="9">
        <f>INVENTARIOBODEGA[[#This Row],[COSTO UNITARIO]]*INVENTARIOBODEGA[[#This Row],[STOCK ACTUAL]]</f>
        <v>0</v>
      </c>
    </row>
    <row r="55" spans="1:8" ht="16" x14ac:dyDescent="0.2">
      <c r="A55" s="2" t="s">
        <v>197</v>
      </c>
      <c r="B55" s="2" t="s">
        <v>52</v>
      </c>
      <c r="C55" s="1" t="s">
        <v>82</v>
      </c>
      <c r="D55" s="8">
        <f>IFERROR(SUMIFS(ENTRADASBODEGA[CANTIDAD],ENTRADASBODEGA[DESCRIPCIÓN],INVENTARIOBODEGA[[#This Row],[DESCRIPCIÓN]],ENTRADASBODEGA[LOTE],INVENTARIOBODEGA[[#This Row],[LOTE]]),"-")</f>
        <v>4</v>
      </c>
      <c r="E55" s="8">
        <f>IFERROR(SUMIFS(SALIDASBODEGA[CANTIDAD],SALIDASBODEGA[DESCRIPCIÓN],INVENTARIOBODEGA[[#This Row],[DESCRIPCIÓN]],SALIDASBODEGA[LOTE],INVENTARIOBODEGA[[#This Row],[LOTE]]),"-")</f>
        <v>0</v>
      </c>
      <c r="F55" s="8">
        <f>INVENTARIOBODEGA[[#This Row],[ENTRADAS]]-INVENTARIOBODEGA[[#This Row],[SALIDAS ]]</f>
        <v>4</v>
      </c>
      <c r="G55" s="1"/>
      <c r="H55" s="9">
        <f>INVENTARIOBODEGA[[#This Row],[COSTO UNITARIO]]*INVENTARIOBODEGA[[#This Row],[STOCK ACTUAL]]</f>
        <v>0</v>
      </c>
    </row>
    <row r="56" spans="1:8" ht="16" x14ac:dyDescent="0.2">
      <c r="A56" s="2" t="s">
        <v>230</v>
      </c>
      <c r="B56" s="2" t="s">
        <v>103</v>
      </c>
      <c r="C56" s="1" t="s">
        <v>82</v>
      </c>
      <c r="D56" s="8">
        <f>IFERROR(SUMIFS(ENTRADASBODEGA[CANTIDAD],ENTRADASBODEGA[DESCRIPCIÓN],INVENTARIOBODEGA[[#This Row],[DESCRIPCIÓN]],ENTRADASBODEGA[LOTE],INVENTARIOBODEGA[[#This Row],[LOTE]]),"-")</f>
        <v>60</v>
      </c>
      <c r="E56" s="8">
        <f>IFERROR(SUMIFS(SALIDASBODEGA[CANTIDAD],SALIDASBODEGA[DESCRIPCIÓN],INVENTARIOBODEGA[[#This Row],[DESCRIPCIÓN]],SALIDASBODEGA[LOTE],INVENTARIOBODEGA[[#This Row],[LOTE]]),"-")</f>
        <v>1</v>
      </c>
      <c r="F56" s="8">
        <f>INVENTARIOBODEGA[[#This Row],[ENTRADAS]]-INVENTARIOBODEGA[[#This Row],[SALIDAS ]]</f>
        <v>59</v>
      </c>
      <c r="G56" s="1"/>
      <c r="H56" s="9">
        <f>INVENTARIOBODEGA[[#This Row],[COSTO UNITARIO]]*INVENTARIOBODEGA[[#This Row],[STOCK ACTUAL]]</f>
        <v>0</v>
      </c>
    </row>
    <row r="57" spans="1:8" ht="16" x14ac:dyDescent="0.2">
      <c r="A57" s="2" t="s">
        <v>200</v>
      </c>
      <c r="B57" s="2" t="s">
        <v>55</v>
      </c>
      <c r="C57" s="1" t="s">
        <v>82</v>
      </c>
      <c r="D57" s="8">
        <f>IFERROR(SUMIFS(ENTRADASBODEGA[CANTIDAD],ENTRADASBODEGA[DESCRIPCIÓN],INVENTARIOBODEGA[[#This Row],[DESCRIPCIÓN]],ENTRADASBODEGA[LOTE],INVENTARIOBODEGA[[#This Row],[LOTE]]),"-")</f>
        <v>2</v>
      </c>
      <c r="E57" s="8">
        <f>IFERROR(SUMIFS(SALIDASBODEGA[CANTIDAD],SALIDASBODEGA[DESCRIPCIÓN],INVENTARIOBODEGA[[#This Row],[DESCRIPCIÓN]],SALIDASBODEGA[LOTE],INVENTARIOBODEGA[[#This Row],[LOTE]]),"-")</f>
        <v>0</v>
      </c>
      <c r="F57" s="8">
        <f>INVENTARIOBODEGA[[#This Row],[ENTRADAS]]-INVENTARIOBODEGA[[#This Row],[SALIDAS ]]</f>
        <v>2</v>
      </c>
      <c r="G57" s="1"/>
      <c r="H57" s="9">
        <f>INVENTARIOBODEGA[[#This Row],[COSTO UNITARIO]]*INVENTARIOBODEGA[[#This Row],[STOCK ACTUAL]]</f>
        <v>0</v>
      </c>
    </row>
    <row r="58" spans="1:8" ht="16" x14ac:dyDescent="0.2">
      <c r="A58" s="2" t="s">
        <v>195</v>
      </c>
      <c r="B58" s="2" t="s">
        <v>50</v>
      </c>
      <c r="C58" s="1" t="s">
        <v>82</v>
      </c>
      <c r="D58" s="8">
        <f>IFERROR(SUMIFS(ENTRADASBODEGA[CANTIDAD],ENTRADASBODEGA[DESCRIPCIÓN],INVENTARIOBODEGA[[#This Row],[DESCRIPCIÓN]],ENTRADASBODEGA[LOTE],INVENTARIOBODEGA[[#This Row],[LOTE]]),"-")</f>
        <v>14</v>
      </c>
      <c r="E58" s="8">
        <f>IFERROR(SUMIFS(SALIDASBODEGA[CANTIDAD],SALIDASBODEGA[DESCRIPCIÓN],INVENTARIOBODEGA[[#This Row],[DESCRIPCIÓN]],SALIDASBODEGA[LOTE],INVENTARIOBODEGA[[#This Row],[LOTE]]),"-")</f>
        <v>5</v>
      </c>
      <c r="F58" s="8">
        <f>INVENTARIOBODEGA[[#This Row],[ENTRADAS]]-INVENTARIOBODEGA[[#This Row],[SALIDAS ]]</f>
        <v>9</v>
      </c>
      <c r="G58" s="1"/>
      <c r="H58" s="9">
        <f>INVENTARIOBODEGA[[#This Row],[COSTO UNITARIO]]*INVENTARIOBODEGA[[#This Row],[STOCK ACTUAL]]</f>
        <v>0</v>
      </c>
    </row>
    <row r="59" spans="1:8" ht="16" x14ac:dyDescent="0.2">
      <c r="A59" s="2" t="s">
        <v>201</v>
      </c>
      <c r="B59" s="2" t="s">
        <v>56</v>
      </c>
      <c r="C59" s="1" t="s">
        <v>82</v>
      </c>
      <c r="D59" s="8">
        <f>IFERROR(SUMIFS(ENTRADASBODEGA[CANTIDAD],ENTRADASBODEGA[DESCRIPCIÓN],INVENTARIOBODEGA[[#This Row],[DESCRIPCIÓN]],ENTRADASBODEGA[LOTE],INVENTARIOBODEGA[[#This Row],[LOTE]]),"-")</f>
        <v>3</v>
      </c>
      <c r="E59" s="8">
        <f>IFERROR(SUMIFS(SALIDASBODEGA[CANTIDAD],SALIDASBODEGA[DESCRIPCIÓN],INVENTARIOBODEGA[[#This Row],[DESCRIPCIÓN]],SALIDASBODEGA[LOTE],INVENTARIOBODEGA[[#This Row],[LOTE]]),"-")</f>
        <v>0</v>
      </c>
      <c r="F59" s="8">
        <f>INVENTARIOBODEGA[[#This Row],[ENTRADAS]]-INVENTARIOBODEGA[[#This Row],[SALIDAS ]]</f>
        <v>3</v>
      </c>
      <c r="G59" s="1"/>
      <c r="H59" s="9">
        <f>INVENTARIOBODEGA[[#This Row],[COSTO UNITARIO]]*INVENTARIOBODEGA[[#This Row],[STOCK ACTUAL]]</f>
        <v>0</v>
      </c>
    </row>
    <row r="60" spans="1:8" ht="16" x14ac:dyDescent="0.2">
      <c r="A60" s="2" t="s">
        <v>198</v>
      </c>
      <c r="B60" s="2" t="s">
        <v>53</v>
      </c>
      <c r="C60" s="1" t="s">
        <v>82</v>
      </c>
      <c r="D60" s="8">
        <f>IFERROR(SUMIFS(ENTRADASBODEGA[CANTIDAD],ENTRADASBODEGA[DESCRIPCIÓN],INVENTARIOBODEGA[[#This Row],[DESCRIPCIÓN]],ENTRADASBODEGA[LOTE],INVENTARIOBODEGA[[#This Row],[LOTE]]),"-")</f>
        <v>3</v>
      </c>
      <c r="E60" s="8">
        <f>IFERROR(SUMIFS(SALIDASBODEGA[CANTIDAD],SALIDASBODEGA[DESCRIPCIÓN],INVENTARIOBODEGA[[#This Row],[DESCRIPCIÓN]],SALIDASBODEGA[LOTE],INVENTARIOBODEGA[[#This Row],[LOTE]]),"-")</f>
        <v>0</v>
      </c>
      <c r="F60" s="8">
        <f>INVENTARIOBODEGA[[#This Row],[ENTRADAS]]-INVENTARIOBODEGA[[#This Row],[SALIDAS ]]</f>
        <v>3</v>
      </c>
      <c r="G60" s="1"/>
      <c r="H60" s="9">
        <f>INVENTARIOBODEGA[[#This Row],[COSTO UNITARIO]]*INVENTARIOBODEGA[[#This Row],[STOCK ACTUAL]]</f>
        <v>0</v>
      </c>
    </row>
    <row r="61" spans="1:8" ht="16" x14ac:dyDescent="0.2">
      <c r="A61" s="2" t="s">
        <v>192</v>
      </c>
      <c r="B61" s="2" t="s">
        <v>47</v>
      </c>
      <c r="C61" s="1" t="s">
        <v>82</v>
      </c>
      <c r="D61" s="8">
        <f>IFERROR(SUMIFS(ENTRADASBODEGA[CANTIDAD],ENTRADASBODEGA[DESCRIPCIÓN],INVENTARIOBODEGA[[#This Row],[DESCRIPCIÓN]],ENTRADASBODEGA[LOTE],INVENTARIOBODEGA[[#This Row],[LOTE]]),"-")</f>
        <v>11</v>
      </c>
      <c r="E61" s="8">
        <f>IFERROR(SUMIFS(SALIDASBODEGA[CANTIDAD],SALIDASBODEGA[DESCRIPCIÓN],INVENTARIOBODEGA[[#This Row],[DESCRIPCIÓN]],SALIDASBODEGA[LOTE],INVENTARIOBODEGA[[#This Row],[LOTE]]),"-")</f>
        <v>0</v>
      </c>
      <c r="F61" s="8">
        <f>INVENTARIOBODEGA[[#This Row],[ENTRADAS]]-INVENTARIOBODEGA[[#This Row],[SALIDAS ]]</f>
        <v>11</v>
      </c>
      <c r="G61" s="1"/>
      <c r="H61" s="9">
        <f>INVENTARIOBODEGA[[#This Row],[COSTO UNITARIO]]*INVENTARIOBODEGA[[#This Row],[STOCK ACTUAL]]</f>
        <v>0</v>
      </c>
    </row>
    <row r="62" spans="1:8" ht="16" x14ac:dyDescent="0.2">
      <c r="A62" s="2" t="s">
        <v>194</v>
      </c>
      <c r="B62" s="2" t="s">
        <v>49</v>
      </c>
      <c r="C62" s="1" t="s">
        <v>82</v>
      </c>
      <c r="D62" s="8">
        <f>IFERROR(SUMIFS(ENTRADASBODEGA[CANTIDAD],ENTRADASBODEGA[DESCRIPCIÓN],INVENTARIOBODEGA[[#This Row],[DESCRIPCIÓN]],ENTRADASBODEGA[LOTE],INVENTARIOBODEGA[[#This Row],[LOTE]]),"-")</f>
        <v>2</v>
      </c>
      <c r="E62" s="8">
        <f>IFERROR(SUMIFS(SALIDASBODEGA[CANTIDAD],SALIDASBODEGA[DESCRIPCIÓN],INVENTARIOBODEGA[[#This Row],[DESCRIPCIÓN]],SALIDASBODEGA[LOTE],INVENTARIOBODEGA[[#This Row],[LOTE]]),"-")</f>
        <v>0</v>
      </c>
      <c r="F62" s="8">
        <f>INVENTARIOBODEGA[[#This Row],[ENTRADAS]]-INVENTARIOBODEGA[[#This Row],[SALIDAS ]]</f>
        <v>2</v>
      </c>
      <c r="G62" s="1"/>
      <c r="H62" s="9">
        <f>INVENTARIOBODEGA[[#This Row],[COSTO UNITARIO]]*INVENTARIOBODEGA[[#This Row],[STOCK ACTUAL]]</f>
        <v>0</v>
      </c>
    </row>
    <row r="63" spans="1:8" ht="16" x14ac:dyDescent="0.2">
      <c r="A63" s="2" t="s">
        <v>570</v>
      </c>
      <c r="B63" s="2" t="s">
        <v>538</v>
      </c>
      <c r="C63" s="1" t="s">
        <v>467</v>
      </c>
      <c r="D63" s="8">
        <f>IFERROR(SUMIFS(ENTRADASBODEGA[CANTIDAD],ENTRADASBODEGA[DESCRIPCIÓN],INVENTARIOBODEGA[[#This Row],[DESCRIPCIÓN]],ENTRADASBODEGA[LOTE],INVENTARIOBODEGA[[#This Row],[LOTE]]),"-")</f>
        <v>3</v>
      </c>
      <c r="E63" s="8">
        <f>IFERROR(SUMIFS(SALIDASBODEGA[CANTIDAD],SALIDASBODEGA[DESCRIPCIÓN],INVENTARIOBODEGA[[#This Row],[DESCRIPCIÓN]],SALIDASBODEGA[LOTE],INVENTARIOBODEGA[[#This Row],[LOTE]]),"-")</f>
        <v>0</v>
      </c>
      <c r="F63" s="8">
        <f>INVENTARIOBODEGA[[#This Row],[ENTRADAS]]-INVENTARIOBODEGA[[#This Row],[SALIDAS ]]</f>
        <v>3</v>
      </c>
      <c r="G63" s="1"/>
      <c r="H63" s="9">
        <f>INVENTARIOBODEGA[[#This Row],[COSTO UNITARIO]]*INVENTARIOBODEGA[[#This Row],[STOCK ACTUAL]]</f>
        <v>0</v>
      </c>
    </row>
    <row r="64" spans="1:8" ht="16" x14ac:dyDescent="0.2">
      <c r="A64" s="2" t="s">
        <v>490</v>
      </c>
      <c r="B64" s="2" t="s">
        <v>480</v>
      </c>
      <c r="C64" s="1" t="s">
        <v>464</v>
      </c>
      <c r="D64" s="8">
        <f>IFERROR(SUMIFS(ENTRADASBODEGA[CANTIDAD],ENTRADASBODEGA[DESCRIPCIÓN],INVENTARIOBODEGA[[#This Row],[DESCRIPCIÓN]],ENTRADASBODEGA[LOTE],INVENTARIOBODEGA[[#This Row],[LOTE]]),"-")</f>
        <v>2</v>
      </c>
      <c r="E64" s="8">
        <f>IFERROR(SUMIFS(SALIDASBODEGA[CANTIDAD],SALIDASBODEGA[DESCRIPCIÓN],INVENTARIOBODEGA[[#This Row],[DESCRIPCIÓN]],SALIDASBODEGA[LOTE],INVENTARIOBODEGA[[#This Row],[LOTE]]),"-")</f>
        <v>0</v>
      </c>
      <c r="F64" s="8">
        <f>INVENTARIOBODEGA[[#This Row],[ENTRADAS]]-INVENTARIOBODEGA[[#This Row],[SALIDAS ]]</f>
        <v>2</v>
      </c>
      <c r="G64" s="1"/>
      <c r="H64" s="9">
        <f>INVENTARIOBODEGA[[#This Row],[COSTO UNITARIO]]*INVENTARIOBODEGA[[#This Row],[STOCK ACTUAL]]</f>
        <v>0</v>
      </c>
    </row>
    <row r="65" spans="1:8" ht="16" x14ac:dyDescent="0.2">
      <c r="A65" s="2" t="s">
        <v>491</v>
      </c>
      <c r="B65" s="2" t="s">
        <v>482</v>
      </c>
      <c r="C65" s="1" t="s">
        <v>464</v>
      </c>
      <c r="D65" s="8">
        <f>IFERROR(SUMIFS(ENTRADASBODEGA[CANTIDAD],ENTRADASBODEGA[DESCRIPCIÓN],INVENTARIOBODEGA[[#This Row],[DESCRIPCIÓN]],ENTRADASBODEGA[LOTE],INVENTARIOBODEGA[[#This Row],[LOTE]]),"-")</f>
        <v>2</v>
      </c>
      <c r="E65" s="8">
        <f>IFERROR(SUMIFS(SALIDASBODEGA[CANTIDAD],SALIDASBODEGA[DESCRIPCIÓN],INVENTARIOBODEGA[[#This Row],[DESCRIPCIÓN]],SALIDASBODEGA[LOTE],INVENTARIOBODEGA[[#This Row],[LOTE]]),"-")</f>
        <v>0</v>
      </c>
      <c r="F65" s="8">
        <f>INVENTARIOBODEGA[[#This Row],[ENTRADAS]]-INVENTARIOBODEGA[[#This Row],[SALIDAS ]]</f>
        <v>2</v>
      </c>
      <c r="G65" s="1"/>
      <c r="H65" s="9">
        <f>INVENTARIOBODEGA[[#This Row],[COSTO UNITARIO]]*INVENTARIOBODEGA[[#This Row],[STOCK ACTUAL]]</f>
        <v>0</v>
      </c>
    </row>
    <row r="66" spans="1:8" ht="16" x14ac:dyDescent="0.2">
      <c r="A66" s="2" t="s">
        <v>571</v>
      </c>
      <c r="B66" s="2" t="s">
        <v>539</v>
      </c>
      <c r="C66" s="1" t="s">
        <v>467</v>
      </c>
      <c r="D66" s="8">
        <f>IFERROR(SUMIFS(ENTRADASBODEGA[CANTIDAD],ENTRADASBODEGA[DESCRIPCIÓN],INVENTARIOBODEGA[[#This Row],[DESCRIPCIÓN]],ENTRADASBODEGA[LOTE],INVENTARIOBODEGA[[#This Row],[LOTE]]),"-")</f>
        <v>3</v>
      </c>
      <c r="E66" s="8">
        <f>IFERROR(SUMIFS(SALIDASBODEGA[CANTIDAD],SALIDASBODEGA[DESCRIPCIÓN],INVENTARIOBODEGA[[#This Row],[DESCRIPCIÓN]],SALIDASBODEGA[LOTE],INVENTARIOBODEGA[[#This Row],[LOTE]]),"-")</f>
        <v>0</v>
      </c>
      <c r="F66" s="8">
        <f>INVENTARIOBODEGA[[#This Row],[ENTRADAS]]-INVENTARIOBODEGA[[#This Row],[SALIDAS ]]</f>
        <v>3</v>
      </c>
      <c r="G66" s="1"/>
      <c r="H66" s="9">
        <f>INVENTARIOBODEGA[[#This Row],[COSTO UNITARIO]]*INVENTARIOBODEGA[[#This Row],[STOCK ACTUAL]]</f>
        <v>0</v>
      </c>
    </row>
    <row r="67" spans="1:8" ht="16" x14ac:dyDescent="0.2">
      <c r="A67" s="2" t="s">
        <v>489</v>
      </c>
      <c r="B67" s="2" t="s">
        <v>481</v>
      </c>
      <c r="C67" s="1" t="s">
        <v>464</v>
      </c>
      <c r="D67" s="8">
        <f>IFERROR(SUMIFS(ENTRADASBODEGA[CANTIDAD],ENTRADASBODEGA[DESCRIPCIÓN],INVENTARIOBODEGA[[#This Row],[DESCRIPCIÓN]],ENTRADASBODEGA[LOTE],INVENTARIOBODEGA[[#This Row],[LOTE]]),"-")</f>
        <v>2</v>
      </c>
      <c r="E67" s="8">
        <f>IFERROR(SUMIFS(SALIDASBODEGA[CANTIDAD],SALIDASBODEGA[DESCRIPCIÓN],INVENTARIOBODEGA[[#This Row],[DESCRIPCIÓN]],SALIDASBODEGA[LOTE],INVENTARIOBODEGA[[#This Row],[LOTE]]),"-")</f>
        <v>0</v>
      </c>
      <c r="F67" s="8">
        <f>INVENTARIOBODEGA[[#This Row],[ENTRADAS]]-INVENTARIOBODEGA[[#This Row],[SALIDAS ]]</f>
        <v>2</v>
      </c>
      <c r="G67" s="1"/>
      <c r="H67" s="9">
        <f>INVENTARIOBODEGA[[#This Row],[COSTO UNITARIO]]*INVENTARIOBODEGA[[#This Row],[STOCK ACTUAL]]</f>
        <v>0</v>
      </c>
    </row>
    <row r="68" spans="1:8" ht="16" x14ac:dyDescent="0.2">
      <c r="A68" s="2" t="s">
        <v>572</v>
      </c>
      <c r="B68" s="2" t="s">
        <v>540</v>
      </c>
      <c r="C68" s="1" t="s">
        <v>467</v>
      </c>
      <c r="D68" s="8">
        <f>IFERROR(SUMIFS(ENTRADASBODEGA[CANTIDAD],ENTRADASBODEGA[DESCRIPCIÓN],INVENTARIOBODEGA[[#This Row],[DESCRIPCIÓN]],ENTRADASBODEGA[LOTE],INVENTARIOBODEGA[[#This Row],[LOTE]]),"-")</f>
        <v>20</v>
      </c>
      <c r="E68" s="8">
        <f>IFERROR(SUMIFS(SALIDASBODEGA[CANTIDAD],SALIDASBODEGA[DESCRIPCIÓN],INVENTARIOBODEGA[[#This Row],[DESCRIPCIÓN]],SALIDASBODEGA[LOTE],INVENTARIOBODEGA[[#This Row],[LOTE]]),"-")</f>
        <v>0</v>
      </c>
      <c r="F68" s="8">
        <f>INVENTARIOBODEGA[[#This Row],[ENTRADAS]]-INVENTARIOBODEGA[[#This Row],[SALIDAS ]]</f>
        <v>20</v>
      </c>
      <c r="G68" s="1"/>
      <c r="H68" s="9">
        <f>INVENTARIOBODEGA[[#This Row],[COSTO UNITARIO]]*INVENTARIOBODEGA[[#This Row],[STOCK ACTUAL]]</f>
        <v>0</v>
      </c>
    </row>
    <row r="69" spans="1:8" ht="16" x14ac:dyDescent="0.2">
      <c r="A69" s="2" t="s">
        <v>160</v>
      </c>
      <c r="B69" s="2" t="s">
        <v>16</v>
      </c>
      <c r="C69" s="1" t="s">
        <v>17</v>
      </c>
      <c r="D69" s="8">
        <f>IFERROR(SUMIFS(ENTRADASBODEGA[CANTIDAD],ENTRADASBODEGA[DESCRIPCIÓN],INVENTARIOBODEGA[[#This Row],[DESCRIPCIÓN]],ENTRADASBODEGA[LOTE],INVENTARIOBODEGA[[#This Row],[LOTE]]),"-")</f>
        <v>10</v>
      </c>
      <c r="E69" s="8">
        <f>IFERROR(SUMIFS(SALIDASBODEGA[CANTIDAD],SALIDASBODEGA[DESCRIPCIÓN],INVENTARIOBODEGA[[#This Row],[DESCRIPCIÓN]],SALIDASBODEGA[LOTE],INVENTARIOBODEGA[[#This Row],[LOTE]]),"-")</f>
        <v>0</v>
      </c>
      <c r="F69" s="8">
        <f>INVENTARIOBODEGA[[#This Row],[ENTRADAS]]-INVENTARIOBODEGA[[#This Row],[SALIDAS ]]</f>
        <v>10</v>
      </c>
      <c r="G69" s="1"/>
      <c r="H69" s="9">
        <f>INVENTARIOBODEGA[[#This Row],[COSTO UNITARIO]]*INVENTARIOBODEGA[[#This Row],[STOCK ACTUAL]]</f>
        <v>0</v>
      </c>
    </row>
    <row r="70" spans="1:8" ht="16" x14ac:dyDescent="0.2">
      <c r="A70" s="2" t="s">
        <v>159</v>
      </c>
      <c r="B70" s="2" t="s">
        <v>15</v>
      </c>
      <c r="C70" s="1" t="s">
        <v>17</v>
      </c>
      <c r="D70" s="8">
        <f>IFERROR(SUMIFS(ENTRADASBODEGA[CANTIDAD],ENTRADASBODEGA[DESCRIPCIÓN],INVENTARIOBODEGA[[#This Row],[DESCRIPCIÓN]],ENTRADASBODEGA[LOTE],INVENTARIOBODEGA[[#This Row],[LOTE]]),"-")</f>
        <v>1</v>
      </c>
      <c r="E70" s="8">
        <f>IFERROR(SUMIFS(SALIDASBODEGA[CANTIDAD],SALIDASBODEGA[DESCRIPCIÓN],INVENTARIOBODEGA[[#This Row],[DESCRIPCIÓN]],SALIDASBODEGA[LOTE],INVENTARIOBODEGA[[#This Row],[LOTE]]),"-")</f>
        <v>0</v>
      </c>
      <c r="F70" s="8">
        <f>INVENTARIOBODEGA[[#This Row],[ENTRADAS]]-INVENTARIOBODEGA[[#This Row],[SALIDAS ]]</f>
        <v>1</v>
      </c>
      <c r="G70" s="1"/>
      <c r="H70" s="9">
        <f>INVENTARIOBODEGA[[#This Row],[COSTO UNITARIO]]*INVENTARIOBODEGA[[#This Row],[STOCK ACTUAL]]</f>
        <v>0</v>
      </c>
    </row>
    <row r="71" spans="1:8" ht="16" x14ac:dyDescent="0.2">
      <c r="A71" s="2" t="s">
        <v>514</v>
      </c>
      <c r="B71" s="2" t="s">
        <v>502</v>
      </c>
      <c r="C71" s="1" t="s">
        <v>466</v>
      </c>
      <c r="D71" s="8">
        <f>IFERROR(SUMIFS(ENTRADASBODEGA[CANTIDAD],ENTRADASBODEGA[DESCRIPCIÓN],INVENTARIOBODEGA[[#This Row],[DESCRIPCIÓN]],ENTRADASBODEGA[LOTE],INVENTARIOBODEGA[[#This Row],[LOTE]]),"-")</f>
        <v>2</v>
      </c>
      <c r="E71" s="8">
        <f>IFERROR(SUMIFS(SALIDASBODEGA[CANTIDAD],SALIDASBODEGA[DESCRIPCIÓN],INVENTARIOBODEGA[[#This Row],[DESCRIPCIÓN]],SALIDASBODEGA[LOTE],INVENTARIOBODEGA[[#This Row],[LOTE]]),"-")</f>
        <v>0</v>
      </c>
      <c r="F71" s="8">
        <f>INVENTARIOBODEGA[[#This Row],[ENTRADAS]]-INVENTARIOBODEGA[[#This Row],[SALIDAS ]]</f>
        <v>2</v>
      </c>
      <c r="G71" s="1"/>
      <c r="H71" s="9">
        <f>INVENTARIOBODEGA[[#This Row],[COSTO UNITARIO]]*INVENTARIOBODEGA[[#This Row],[STOCK ACTUAL]]</f>
        <v>0</v>
      </c>
    </row>
    <row r="72" spans="1:8" ht="16" x14ac:dyDescent="0.2">
      <c r="A72" s="2" t="s">
        <v>515</v>
      </c>
      <c r="B72" s="2" t="s">
        <v>503</v>
      </c>
      <c r="C72" s="1" t="s">
        <v>466</v>
      </c>
      <c r="D72" s="8">
        <f>IFERROR(SUMIFS(ENTRADASBODEGA[CANTIDAD],ENTRADASBODEGA[DESCRIPCIÓN],INVENTARIOBODEGA[[#This Row],[DESCRIPCIÓN]],ENTRADASBODEGA[LOTE],INVENTARIOBODEGA[[#This Row],[LOTE]]),"-")</f>
        <v>1</v>
      </c>
      <c r="E72" s="8">
        <f>IFERROR(SUMIFS(SALIDASBODEGA[CANTIDAD],SALIDASBODEGA[DESCRIPCIÓN],INVENTARIOBODEGA[[#This Row],[DESCRIPCIÓN]],SALIDASBODEGA[LOTE],INVENTARIOBODEGA[[#This Row],[LOTE]]),"-")</f>
        <v>1</v>
      </c>
      <c r="F72" s="8">
        <f>INVENTARIOBODEGA[[#This Row],[ENTRADAS]]-INVENTARIOBODEGA[[#This Row],[SALIDAS ]]</f>
        <v>0</v>
      </c>
      <c r="G72" s="1"/>
      <c r="H72" s="9">
        <f>INVENTARIOBODEGA[[#This Row],[COSTO UNITARIO]]*INVENTARIOBODEGA[[#This Row],[STOCK ACTUAL]]</f>
        <v>0</v>
      </c>
    </row>
    <row r="73" spans="1:8" ht="16" x14ac:dyDescent="0.2">
      <c r="A73" s="2" t="s">
        <v>518</v>
      </c>
      <c r="B73" s="2" t="s">
        <v>504</v>
      </c>
      <c r="C73" s="1" t="s">
        <v>466</v>
      </c>
      <c r="D73" s="8">
        <f>IFERROR(SUMIFS(ENTRADASBODEGA[CANTIDAD],ENTRADASBODEGA[DESCRIPCIÓN],INVENTARIOBODEGA[[#This Row],[DESCRIPCIÓN]],ENTRADASBODEGA[LOTE],INVENTARIOBODEGA[[#This Row],[LOTE]]),"-")</f>
        <v>2</v>
      </c>
      <c r="E73" s="8">
        <f>IFERROR(SUMIFS(SALIDASBODEGA[CANTIDAD],SALIDASBODEGA[DESCRIPCIÓN],INVENTARIOBODEGA[[#This Row],[DESCRIPCIÓN]],SALIDASBODEGA[LOTE],INVENTARIOBODEGA[[#This Row],[LOTE]]),"-")</f>
        <v>0</v>
      </c>
      <c r="F73" s="8">
        <f>INVENTARIOBODEGA[[#This Row],[ENTRADAS]]-INVENTARIOBODEGA[[#This Row],[SALIDAS ]]</f>
        <v>2</v>
      </c>
      <c r="G73" s="1"/>
      <c r="H73" s="9">
        <f>INVENTARIOBODEGA[[#This Row],[COSTO UNITARIO]]*INVENTARIOBODEGA[[#This Row],[STOCK ACTUAL]]</f>
        <v>0</v>
      </c>
    </row>
    <row r="74" spans="1:8" ht="16" x14ac:dyDescent="0.2">
      <c r="A74" s="2" t="s">
        <v>524</v>
      </c>
      <c r="B74" s="2" t="s">
        <v>498</v>
      </c>
      <c r="C74" s="1" t="s">
        <v>466</v>
      </c>
      <c r="D74" s="8">
        <f>IFERROR(SUMIFS(ENTRADASBODEGA[CANTIDAD],ENTRADASBODEGA[DESCRIPCIÓN],INVENTARIOBODEGA[[#This Row],[DESCRIPCIÓN]],ENTRADASBODEGA[LOTE],INVENTARIOBODEGA[[#This Row],[LOTE]]),"-")</f>
        <v>2</v>
      </c>
      <c r="E74" s="8">
        <f>IFERROR(SUMIFS(SALIDASBODEGA[CANTIDAD],SALIDASBODEGA[DESCRIPCIÓN],INVENTARIOBODEGA[[#This Row],[DESCRIPCIÓN]],SALIDASBODEGA[LOTE],INVENTARIOBODEGA[[#This Row],[LOTE]]),"-")</f>
        <v>1</v>
      </c>
      <c r="F74" s="8">
        <f>INVENTARIOBODEGA[[#This Row],[ENTRADAS]]-INVENTARIOBODEGA[[#This Row],[SALIDAS ]]</f>
        <v>1</v>
      </c>
      <c r="G74" s="1"/>
      <c r="H74" s="9">
        <f>INVENTARIOBODEGA[[#This Row],[COSTO UNITARIO]]*INVENTARIOBODEGA[[#This Row],[STOCK ACTUAL]]</f>
        <v>0</v>
      </c>
    </row>
    <row r="75" spans="1:8" ht="16" x14ac:dyDescent="0.2">
      <c r="A75" s="2" t="s">
        <v>511</v>
      </c>
      <c r="B75" s="2" t="s">
        <v>499</v>
      </c>
      <c r="C75" s="1" t="s">
        <v>466</v>
      </c>
      <c r="D75" s="8">
        <f>IFERROR(SUMIFS(ENTRADASBODEGA[CANTIDAD],ENTRADASBODEGA[DESCRIPCIÓN],INVENTARIOBODEGA[[#This Row],[DESCRIPCIÓN]],ENTRADASBODEGA[LOTE],INVENTARIOBODEGA[[#This Row],[LOTE]]),"-")</f>
        <v>1</v>
      </c>
      <c r="E75" s="8">
        <f>IFERROR(SUMIFS(SALIDASBODEGA[CANTIDAD],SALIDASBODEGA[DESCRIPCIÓN],INVENTARIOBODEGA[[#This Row],[DESCRIPCIÓN]],SALIDASBODEGA[LOTE],INVENTARIOBODEGA[[#This Row],[LOTE]]),"-")</f>
        <v>0</v>
      </c>
      <c r="F75" s="8">
        <f>INVENTARIOBODEGA[[#This Row],[ENTRADAS]]-INVENTARIOBODEGA[[#This Row],[SALIDAS ]]</f>
        <v>1</v>
      </c>
      <c r="G75" s="1"/>
      <c r="H75" s="9">
        <f>INVENTARIOBODEGA[[#This Row],[COSTO UNITARIO]]*INVENTARIOBODEGA[[#This Row],[STOCK ACTUAL]]</f>
        <v>0</v>
      </c>
    </row>
    <row r="76" spans="1:8" ht="16" x14ac:dyDescent="0.2">
      <c r="A76" s="2" t="s">
        <v>516</v>
      </c>
      <c r="B76" s="2" t="s">
        <v>525</v>
      </c>
      <c r="C76" s="1" t="s">
        <v>466</v>
      </c>
      <c r="D76" s="8">
        <f>IFERROR(SUMIFS(ENTRADASBODEGA[CANTIDAD],ENTRADASBODEGA[DESCRIPCIÓN],INVENTARIOBODEGA[[#This Row],[DESCRIPCIÓN]],ENTRADASBODEGA[LOTE],INVENTARIOBODEGA[[#This Row],[LOTE]]),"-")</f>
        <v>2</v>
      </c>
      <c r="E76" s="8">
        <f>IFERROR(SUMIFS(SALIDASBODEGA[CANTIDAD],SALIDASBODEGA[DESCRIPCIÓN],INVENTARIOBODEGA[[#This Row],[DESCRIPCIÓN]],SALIDASBODEGA[LOTE],INVENTARIOBODEGA[[#This Row],[LOTE]]),"-")</f>
        <v>0</v>
      </c>
      <c r="F76" s="8">
        <f>INVENTARIOBODEGA[[#This Row],[ENTRADAS]]-INVENTARIOBODEGA[[#This Row],[SALIDAS ]]</f>
        <v>2</v>
      </c>
      <c r="G76" s="1"/>
      <c r="H76" s="9">
        <f>INVENTARIOBODEGA[[#This Row],[COSTO UNITARIO]]*INVENTARIOBODEGA[[#This Row],[STOCK ACTUAL]]</f>
        <v>0</v>
      </c>
    </row>
    <row r="77" spans="1:8" ht="16" x14ac:dyDescent="0.2">
      <c r="A77" s="2" t="s">
        <v>513</v>
      </c>
      <c r="B77" s="2" t="s">
        <v>501</v>
      </c>
      <c r="C77" s="1" t="s">
        <v>466</v>
      </c>
      <c r="D77" s="8">
        <f>IFERROR(SUMIFS(ENTRADASBODEGA[CANTIDAD],ENTRADASBODEGA[DESCRIPCIÓN],INVENTARIOBODEGA[[#This Row],[DESCRIPCIÓN]],ENTRADASBODEGA[LOTE],INVENTARIOBODEGA[[#This Row],[LOTE]]),"-")</f>
        <v>4</v>
      </c>
      <c r="E77" s="8">
        <f>IFERROR(SUMIFS(SALIDASBODEGA[CANTIDAD],SALIDASBODEGA[DESCRIPCIÓN],INVENTARIOBODEGA[[#This Row],[DESCRIPCIÓN]],SALIDASBODEGA[LOTE],INVENTARIOBODEGA[[#This Row],[LOTE]]),"-")</f>
        <v>0</v>
      </c>
      <c r="F77" s="8">
        <f>INVENTARIOBODEGA[[#This Row],[ENTRADAS]]-INVENTARIOBODEGA[[#This Row],[SALIDAS ]]</f>
        <v>4</v>
      </c>
      <c r="G77" s="1"/>
      <c r="H77" s="9">
        <f>INVENTARIOBODEGA[[#This Row],[COSTO UNITARIO]]*INVENTARIOBODEGA[[#This Row],[STOCK ACTUAL]]</f>
        <v>0</v>
      </c>
    </row>
    <row r="78" spans="1:8" ht="16" x14ac:dyDescent="0.2">
      <c r="A78" s="2" t="s">
        <v>521</v>
      </c>
      <c r="B78" s="2" t="s">
        <v>507</v>
      </c>
      <c r="C78" s="1" t="s">
        <v>466</v>
      </c>
      <c r="D78" s="8">
        <f>IFERROR(SUMIFS(ENTRADASBODEGA[CANTIDAD],ENTRADASBODEGA[DESCRIPCIÓN],INVENTARIOBODEGA[[#This Row],[DESCRIPCIÓN]],ENTRADASBODEGA[LOTE],INVENTARIOBODEGA[[#This Row],[LOTE]]),"-")</f>
        <v>1</v>
      </c>
      <c r="E78" s="8">
        <f>IFERROR(SUMIFS(SALIDASBODEGA[CANTIDAD],SALIDASBODEGA[DESCRIPCIÓN],INVENTARIOBODEGA[[#This Row],[DESCRIPCIÓN]],SALIDASBODEGA[LOTE],INVENTARIOBODEGA[[#This Row],[LOTE]]),"-")</f>
        <v>1</v>
      </c>
      <c r="F78" s="8">
        <f>INVENTARIOBODEGA[[#This Row],[ENTRADAS]]-INVENTARIOBODEGA[[#This Row],[SALIDAS ]]</f>
        <v>0</v>
      </c>
      <c r="G78" s="1"/>
      <c r="H78" s="9">
        <f>INVENTARIOBODEGA[[#This Row],[COSTO UNITARIO]]*INVENTARIOBODEGA[[#This Row],[STOCK ACTUAL]]</f>
        <v>0</v>
      </c>
    </row>
    <row r="79" spans="1:8" ht="16" x14ac:dyDescent="0.2">
      <c r="A79" s="2" t="s">
        <v>512</v>
      </c>
      <c r="B79" s="2" t="s">
        <v>500</v>
      </c>
      <c r="C79" s="1" t="s">
        <v>466</v>
      </c>
      <c r="D79" s="8">
        <f>IFERROR(SUMIFS(ENTRADASBODEGA[CANTIDAD],ENTRADASBODEGA[DESCRIPCIÓN],INVENTARIOBODEGA[[#This Row],[DESCRIPCIÓN]],ENTRADASBODEGA[LOTE],INVENTARIOBODEGA[[#This Row],[LOTE]]),"-")</f>
        <v>1</v>
      </c>
      <c r="E79" s="8">
        <f>IFERROR(SUMIFS(SALIDASBODEGA[CANTIDAD],SALIDASBODEGA[DESCRIPCIÓN],INVENTARIOBODEGA[[#This Row],[DESCRIPCIÓN]],SALIDASBODEGA[LOTE],INVENTARIOBODEGA[[#This Row],[LOTE]]),"-")</f>
        <v>1</v>
      </c>
      <c r="F79" s="8">
        <f>INVENTARIOBODEGA[[#This Row],[ENTRADAS]]-INVENTARIOBODEGA[[#This Row],[SALIDAS ]]</f>
        <v>0</v>
      </c>
      <c r="G79" s="1"/>
      <c r="H79" s="9">
        <f>INVENTARIOBODEGA[[#This Row],[COSTO UNITARIO]]*INVENTARIOBODEGA[[#This Row],[STOCK ACTUAL]]</f>
        <v>0</v>
      </c>
    </row>
    <row r="80" spans="1:8" ht="16" x14ac:dyDescent="0.2">
      <c r="A80" s="2" t="s">
        <v>517</v>
      </c>
      <c r="B80" s="2" t="s">
        <v>526</v>
      </c>
      <c r="C80" s="1" t="s">
        <v>466</v>
      </c>
      <c r="D80" s="8">
        <f>IFERROR(SUMIFS(ENTRADASBODEGA[CANTIDAD],ENTRADASBODEGA[DESCRIPCIÓN],INVENTARIOBODEGA[[#This Row],[DESCRIPCIÓN]],ENTRADASBODEGA[LOTE],INVENTARIOBODEGA[[#This Row],[LOTE]]),"-")</f>
        <v>2</v>
      </c>
      <c r="E80" s="8">
        <f>IFERROR(SUMIFS(SALIDASBODEGA[CANTIDAD],SALIDASBODEGA[DESCRIPCIÓN],INVENTARIOBODEGA[[#This Row],[DESCRIPCIÓN]],SALIDASBODEGA[LOTE],INVENTARIOBODEGA[[#This Row],[LOTE]]),"-")</f>
        <v>1</v>
      </c>
      <c r="F80" s="8">
        <f>INVENTARIOBODEGA[[#This Row],[ENTRADAS]]-INVENTARIOBODEGA[[#This Row],[SALIDAS ]]</f>
        <v>1</v>
      </c>
      <c r="G80" s="1"/>
      <c r="H80" s="9">
        <f>INVENTARIOBODEGA[[#This Row],[COSTO UNITARIO]]*INVENTARIOBODEGA[[#This Row],[STOCK ACTUAL]]</f>
        <v>0</v>
      </c>
    </row>
    <row r="81" spans="1:8" ht="16" x14ac:dyDescent="0.2">
      <c r="A81" s="2" t="s">
        <v>520</v>
      </c>
      <c r="B81" s="2" t="s">
        <v>506</v>
      </c>
      <c r="C81" s="1" t="s">
        <v>466</v>
      </c>
      <c r="D81" s="8">
        <f>IFERROR(SUMIFS(ENTRADASBODEGA[CANTIDAD],ENTRADASBODEGA[DESCRIPCIÓN],INVENTARIOBODEGA[[#This Row],[DESCRIPCIÓN]],ENTRADASBODEGA[LOTE],INVENTARIOBODEGA[[#This Row],[LOTE]]),"-")</f>
        <v>1</v>
      </c>
      <c r="E81" s="8">
        <f>IFERROR(SUMIFS(SALIDASBODEGA[CANTIDAD],SALIDASBODEGA[DESCRIPCIÓN],INVENTARIOBODEGA[[#This Row],[DESCRIPCIÓN]],SALIDASBODEGA[LOTE],INVENTARIOBODEGA[[#This Row],[LOTE]]),"-")</f>
        <v>0</v>
      </c>
      <c r="F81" s="8">
        <f>INVENTARIOBODEGA[[#This Row],[ENTRADAS]]-INVENTARIOBODEGA[[#This Row],[SALIDAS ]]</f>
        <v>1</v>
      </c>
      <c r="G81" s="1"/>
      <c r="H81" s="9">
        <f>INVENTARIOBODEGA[[#This Row],[COSTO UNITARIO]]*INVENTARIOBODEGA[[#This Row],[STOCK ACTUAL]]</f>
        <v>0</v>
      </c>
    </row>
    <row r="82" spans="1:8" ht="16" x14ac:dyDescent="0.2">
      <c r="A82" s="2" t="s">
        <v>519</v>
      </c>
      <c r="B82" s="2" t="s">
        <v>505</v>
      </c>
      <c r="C82" s="1" t="s">
        <v>466</v>
      </c>
      <c r="D82" s="8">
        <f>IFERROR(SUMIFS(ENTRADASBODEGA[CANTIDAD],ENTRADASBODEGA[DESCRIPCIÓN],INVENTARIOBODEGA[[#This Row],[DESCRIPCIÓN]],ENTRADASBODEGA[LOTE],INVENTARIOBODEGA[[#This Row],[LOTE]]),"-")</f>
        <v>1</v>
      </c>
      <c r="E82" s="8">
        <f>IFERROR(SUMIFS(SALIDASBODEGA[CANTIDAD],SALIDASBODEGA[DESCRIPCIÓN],INVENTARIOBODEGA[[#This Row],[DESCRIPCIÓN]],SALIDASBODEGA[LOTE],INVENTARIOBODEGA[[#This Row],[LOTE]]),"-")</f>
        <v>0</v>
      </c>
      <c r="F82" s="8">
        <f>INVENTARIOBODEGA[[#This Row],[ENTRADAS]]-INVENTARIOBODEGA[[#This Row],[SALIDAS ]]</f>
        <v>1</v>
      </c>
      <c r="G82" s="1"/>
      <c r="H82" s="9">
        <f>INVENTARIOBODEGA[[#This Row],[COSTO UNITARIO]]*INVENTARIOBODEGA[[#This Row],[STOCK ACTUAL]]</f>
        <v>0</v>
      </c>
    </row>
    <row r="83" spans="1:8" ht="16" x14ac:dyDescent="0.2">
      <c r="A83" s="2" t="s">
        <v>522</v>
      </c>
      <c r="B83" s="2" t="s">
        <v>508</v>
      </c>
      <c r="C83" s="1" t="s">
        <v>466</v>
      </c>
      <c r="D83" s="8">
        <f>IFERROR(SUMIFS(ENTRADASBODEGA[CANTIDAD],ENTRADASBODEGA[DESCRIPCIÓN],INVENTARIOBODEGA[[#This Row],[DESCRIPCIÓN]],ENTRADASBODEGA[LOTE],INVENTARIOBODEGA[[#This Row],[LOTE]]),"-")</f>
        <v>1</v>
      </c>
      <c r="E83" s="8">
        <f>IFERROR(SUMIFS(SALIDASBODEGA[CANTIDAD],SALIDASBODEGA[DESCRIPCIÓN],INVENTARIOBODEGA[[#This Row],[DESCRIPCIÓN]],SALIDASBODEGA[LOTE],INVENTARIOBODEGA[[#This Row],[LOTE]]),"-")</f>
        <v>1</v>
      </c>
      <c r="F83" s="8">
        <f>INVENTARIOBODEGA[[#This Row],[ENTRADAS]]-INVENTARIOBODEGA[[#This Row],[SALIDAS ]]</f>
        <v>0</v>
      </c>
      <c r="G83" s="1"/>
      <c r="H83" s="9">
        <f>INVENTARIOBODEGA[[#This Row],[COSTO UNITARIO]]*INVENTARIOBODEGA[[#This Row],[STOCK ACTUAL]]</f>
        <v>0</v>
      </c>
    </row>
    <row r="84" spans="1:8" ht="16" x14ac:dyDescent="0.2">
      <c r="A84" s="2" t="s">
        <v>231</v>
      </c>
      <c r="B84" s="2" t="s">
        <v>104</v>
      </c>
      <c r="C84" s="1" t="s">
        <v>146</v>
      </c>
      <c r="D84" s="8">
        <f>IFERROR(SUMIFS(ENTRADASBODEGA[CANTIDAD],ENTRADASBODEGA[DESCRIPCIÓN],INVENTARIOBODEGA[[#This Row],[DESCRIPCIÓN]],ENTRADASBODEGA[LOTE],INVENTARIOBODEGA[[#This Row],[LOTE]]),"-")</f>
        <v>145</v>
      </c>
      <c r="E84" s="8">
        <f>IFERROR(SUMIFS(SALIDASBODEGA[CANTIDAD],SALIDASBODEGA[DESCRIPCIÓN],INVENTARIOBODEGA[[#This Row],[DESCRIPCIÓN]],SALIDASBODEGA[LOTE],INVENTARIOBODEGA[[#This Row],[LOTE]]),"-")</f>
        <v>4</v>
      </c>
      <c r="F84" s="8">
        <f>INVENTARIOBODEGA[[#This Row],[ENTRADAS]]-INVENTARIOBODEGA[[#This Row],[SALIDAS ]]</f>
        <v>141</v>
      </c>
      <c r="G84" s="1"/>
      <c r="H84" s="9">
        <f>INVENTARIOBODEGA[[#This Row],[COSTO UNITARIO]]*INVENTARIOBODEGA[[#This Row],[STOCK ACTUAL]]</f>
        <v>0</v>
      </c>
    </row>
    <row r="85" spans="1:8" ht="16" x14ac:dyDescent="0.2">
      <c r="A85" s="2" t="s">
        <v>204</v>
      </c>
      <c r="B85" s="2" t="s">
        <v>58</v>
      </c>
      <c r="C85" s="1" t="s">
        <v>83</v>
      </c>
      <c r="D85" s="8">
        <f>IFERROR(SUMIFS(ENTRADASBODEGA[CANTIDAD],ENTRADASBODEGA[DESCRIPCIÓN],INVENTARIOBODEGA[[#This Row],[DESCRIPCIÓN]],ENTRADASBODEGA[LOTE],INVENTARIOBODEGA[[#This Row],[LOTE]]),"-")</f>
        <v>1</v>
      </c>
      <c r="E85" s="8">
        <f>IFERROR(SUMIFS(SALIDASBODEGA[CANTIDAD],SALIDASBODEGA[DESCRIPCIÓN],INVENTARIOBODEGA[[#This Row],[DESCRIPCIÓN]],SALIDASBODEGA[LOTE],INVENTARIOBODEGA[[#This Row],[LOTE]]),"-")</f>
        <v>0</v>
      </c>
      <c r="F85" s="8">
        <f>INVENTARIOBODEGA[[#This Row],[ENTRADAS]]-INVENTARIOBODEGA[[#This Row],[SALIDAS ]]</f>
        <v>1</v>
      </c>
      <c r="G85" s="1"/>
      <c r="H85" s="9">
        <f>INVENTARIOBODEGA[[#This Row],[COSTO UNITARIO]]*INVENTARIOBODEGA[[#This Row],[STOCK ACTUAL]]</f>
        <v>0</v>
      </c>
    </row>
    <row r="86" spans="1:8" ht="16" x14ac:dyDescent="0.2">
      <c r="A86" s="2" t="s">
        <v>257</v>
      </c>
      <c r="B86" s="2" t="s">
        <v>792</v>
      </c>
      <c r="C86" s="1" t="s">
        <v>83</v>
      </c>
      <c r="D86" s="8">
        <f>IFERROR(SUMIFS(ENTRADASBODEGA[CANTIDAD],ENTRADASBODEGA[DESCRIPCIÓN],INVENTARIOBODEGA[[#This Row],[DESCRIPCIÓN]],ENTRADASBODEGA[LOTE],INVENTARIOBODEGA[[#This Row],[LOTE]]),"-")</f>
        <v>6</v>
      </c>
      <c r="E86" s="8">
        <f>IFERROR(SUMIFS(SALIDASBODEGA[CANTIDAD],SALIDASBODEGA[DESCRIPCIÓN],INVENTARIOBODEGA[[#This Row],[DESCRIPCIÓN]],SALIDASBODEGA[LOTE],INVENTARIOBODEGA[[#This Row],[LOTE]]),"-")</f>
        <v>1</v>
      </c>
      <c r="F86" s="8">
        <f>INVENTARIOBODEGA[[#This Row],[ENTRADAS]]-INVENTARIOBODEGA[[#This Row],[SALIDAS ]]</f>
        <v>5</v>
      </c>
      <c r="G86" s="1"/>
      <c r="H86" s="9">
        <f>INVENTARIOBODEGA[[#This Row],[COSTO UNITARIO]]*INVENTARIOBODEGA[[#This Row],[STOCK ACTUAL]]</f>
        <v>0</v>
      </c>
    </row>
    <row r="87" spans="1:8" ht="16" x14ac:dyDescent="0.2">
      <c r="A87" s="2" t="s">
        <v>259</v>
      </c>
      <c r="B87" s="2" t="s">
        <v>128</v>
      </c>
      <c r="C87" s="1" t="s">
        <v>83</v>
      </c>
      <c r="D87" s="8">
        <f>IFERROR(SUMIFS(ENTRADASBODEGA[CANTIDAD],ENTRADASBODEGA[DESCRIPCIÓN],INVENTARIOBODEGA[[#This Row],[DESCRIPCIÓN]],ENTRADASBODEGA[LOTE],INVENTARIOBODEGA[[#This Row],[LOTE]]),"-")</f>
        <v>5</v>
      </c>
      <c r="E87" s="8">
        <f>IFERROR(SUMIFS(SALIDASBODEGA[CANTIDAD],SALIDASBODEGA[DESCRIPCIÓN],INVENTARIOBODEGA[[#This Row],[DESCRIPCIÓN]],SALIDASBODEGA[LOTE],INVENTARIOBODEGA[[#This Row],[LOTE]]),"-")</f>
        <v>0</v>
      </c>
      <c r="F87" s="8">
        <f>INVENTARIOBODEGA[[#This Row],[ENTRADAS]]-INVENTARIOBODEGA[[#This Row],[SALIDAS ]]</f>
        <v>5</v>
      </c>
      <c r="G87" s="1"/>
      <c r="H87" s="9">
        <f>INVENTARIOBODEGA[[#This Row],[COSTO UNITARIO]]*INVENTARIOBODEGA[[#This Row],[STOCK ACTUAL]]</f>
        <v>0</v>
      </c>
    </row>
    <row r="88" spans="1:8" ht="16" x14ac:dyDescent="0.2">
      <c r="A88" s="2" t="s">
        <v>258</v>
      </c>
      <c r="B88" s="2" t="s">
        <v>127</v>
      </c>
      <c r="C88" s="1" t="s">
        <v>83</v>
      </c>
      <c r="D88" s="8">
        <f>IFERROR(SUMIFS(ENTRADASBODEGA[CANTIDAD],ENTRADASBODEGA[DESCRIPCIÓN],INVENTARIOBODEGA[[#This Row],[DESCRIPCIÓN]],ENTRADASBODEGA[LOTE],INVENTARIOBODEGA[[#This Row],[LOTE]]),"-")</f>
        <v>3</v>
      </c>
      <c r="E88" s="8">
        <f>IFERROR(SUMIFS(SALIDASBODEGA[CANTIDAD],SALIDASBODEGA[DESCRIPCIÓN],INVENTARIOBODEGA[[#This Row],[DESCRIPCIÓN]],SALIDASBODEGA[LOTE],INVENTARIOBODEGA[[#This Row],[LOTE]]),"-")</f>
        <v>0</v>
      </c>
      <c r="F88" s="8">
        <f>INVENTARIOBODEGA[[#This Row],[ENTRADAS]]-INVENTARIOBODEGA[[#This Row],[SALIDAS ]]</f>
        <v>3</v>
      </c>
      <c r="G88" s="1"/>
      <c r="H88" s="9">
        <f>INVENTARIOBODEGA[[#This Row],[COSTO UNITARIO]]*INVENTARIOBODEGA[[#This Row],[STOCK ACTUAL]]</f>
        <v>0</v>
      </c>
    </row>
    <row r="89" spans="1:8" ht="16" x14ac:dyDescent="0.2">
      <c r="A89" s="2" t="s">
        <v>202</v>
      </c>
      <c r="B89" s="2" t="s">
        <v>57</v>
      </c>
      <c r="C89" s="1" t="s">
        <v>83</v>
      </c>
      <c r="D89" s="8">
        <f>IFERROR(SUMIFS(ENTRADASBODEGA[CANTIDAD],ENTRADASBODEGA[DESCRIPCIÓN],INVENTARIOBODEGA[[#This Row],[DESCRIPCIÓN]],ENTRADASBODEGA[LOTE],INVENTARIOBODEGA[[#This Row],[LOTE]]),"-")</f>
        <v>1</v>
      </c>
      <c r="E89" s="8">
        <f>IFERROR(SUMIFS(SALIDASBODEGA[CANTIDAD],SALIDASBODEGA[DESCRIPCIÓN],INVENTARIOBODEGA[[#This Row],[DESCRIPCIÓN]],SALIDASBODEGA[LOTE],INVENTARIOBODEGA[[#This Row],[LOTE]]),"-")</f>
        <v>0</v>
      </c>
      <c r="F89" s="8">
        <f>INVENTARIOBODEGA[[#This Row],[ENTRADAS]]-INVENTARIOBODEGA[[#This Row],[SALIDAS ]]</f>
        <v>1</v>
      </c>
      <c r="G89" s="1"/>
      <c r="H89" s="9">
        <f>INVENTARIOBODEGA[[#This Row],[COSTO UNITARIO]]*INVENTARIOBODEGA[[#This Row],[STOCK ACTUAL]]</f>
        <v>0</v>
      </c>
    </row>
    <row r="90" spans="1:8" ht="16" x14ac:dyDescent="0.2">
      <c r="A90" s="2" t="s">
        <v>289</v>
      </c>
      <c r="B90" s="2" t="s">
        <v>280</v>
      </c>
      <c r="C90" s="1" t="s">
        <v>83</v>
      </c>
      <c r="D90" s="8">
        <f>IFERROR(SUMIFS(ENTRADASBODEGA[CANTIDAD],ENTRADASBODEGA[DESCRIPCIÓN],INVENTARIOBODEGA[[#This Row],[DESCRIPCIÓN]],ENTRADASBODEGA[LOTE],INVENTARIOBODEGA[[#This Row],[LOTE]]),"-")</f>
        <v>1</v>
      </c>
      <c r="E90" s="8">
        <f>IFERROR(SUMIFS(SALIDASBODEGA[CANTIDAD],SALIDASBODEGA[DESCRIPCIÓN],INVENTARIOBODEGA[[#This Row],[DESCRIPCIÓN]],SALIDASBODEGA[LOTE],INVENTARIOBODEGA[[#This Row],[LOTE]]),"-")</f>
        <v>0</v>
      </c>
      <c r="F90" s="8">
        <f>INVENTARIOBODEGA[[#This Row],[ENTRADAS]]-INVENTARIOBODEGA[[#This Row],[SALIDAS ]]</f>
        <v>1</v>
      </c>
      <c r="G90" s="1"/>
      <c r="H90" s="9">
        <f>INVENTARIOBODEGA[[#This Row],[COSTO UNITARIO]]*INVENTARIOBODEGA[[#This Row],[STOCK ACTUAL]]</f>
        <v>0</v>
      </c>
    </row>
    <row r="91" spans="1:8" ht="16" x14ac:dyDescent="0.2">
      <c r="A91" s="2" t="s">
        <v>203</v>
      </c>
      <c r="B91" s="2" t="s">
        <v>59</v>
      </c>
      <c r="C91" s="1" t="s">
        <v>83</v>
      </c>
      <c r="D91" s="8">
        <f>IFERROR(SUMIFS(ENTRADASBODEGA[CANTIDAD],ENTRADASBODEGA[DESCRIPCIÓN],INVENTARIOBODEGA[[#This Row],[DESCRIPCIÓN]],ENTRADASBODEGA[LOTE],INVENTARIOBODEGA[[#This Row],[LOTE]]),"-")</f>
        <v>1</v>
      </c>
      <c r="E91" s="8">
        <f>IFERROR(SUMIFS(SALIDASBODEGA[CANTIDAD],SALIDASBODEGA[DESCRIPCIÓN],INVENTARIOBODEGA[[#This Row],[DESCRIPCIÓN]],SALIDASBODEGA[LOTE],INVENTARIOBODEGA[[#This Row],[LOTE]]),"-")</f>
        <v>0</v>
      </c>
      <c r="F91" s="8">
        <f>INVENTARIOBODEGA[[#This Row],[ENTRADAS]]-INVENTARIOBODEGA[[#This Row],[SALIDAS ]]</f>
        <v>1</v>
      </c>
      <c r="G91" s="1"/>
      <c r="H91" s="9">
        <f>INVENTARIOBODEGA[[#This Row],[COSTO UNITARIO]]*INVENTARIOBODEGA[[#This Row],[STOCK ACTUAL]]</f>
        <v>0</v>
      </c>
    </row>
    <row r="92" spans="1:8" ht="16" x14ac:dyDescent="0.2">
      <c r="A92" s="2" t="s">
        <v>232</v>
      </c>
      <c r="B92" s="2" t="s">
        <v>105</v>
      </c>
      <c r="C92" s="1" t="s">
        <v>83</v>
      </c>
      <c r="D92" s="8">
        <f>IFERROR(SUMIFS(ENTRADASBODEGA[CANTIDAD],ENTRADASBODEGA[DESCRIPCIÓN],INVENTARIOBODEGA[[#This Row],[DESCRIPCIÓN]],ENTRADASBODEGA[LOTE],INVENTARIOBODEGA[[#This Row],[LOTE]]),"-")</f>
        <v>9</v>
      </c>
      <c r="E92" s="8">
        <f>IFERROR(SUMIFS(SALIDASBODEGA[CANTIDAD],SALIDASBODEGA[DESCRIPCIÓN],INVENTARIOBODEGA[[#This Row],[DESCRIPCIÓN]],SALIDASBODEGA[LOTE],INVENTARIOBODEGA[[#This Row],[LOTE]]),"-")</f>
        <v>4</v>
      </c>
      <c r="F92" s="8">
        <f>INVENTARIOBODEGA[[#This Row],[ENTRADAS]]-INVENTARIOBODEGA[[#This Row],[SALIDAS ]]</f>
        <v>5</v>
      </c>
      <c r="G92" s="1"/>
      <c r="H92" s="9">
        <f>INVENTARIOBODEGA[[#This Row],[COSTO UNITARIO]]*INVENTARIOBODEGA[[#This Row],[STOCK ACTUAL]]</f>
        <v>0</v>
      </c>
    </row>
    <row r="93" spans="1:8" ht="16" x14ac:dyDescent="0.2">
      <c r="A93" s="2" t="s">
        <v>288</v>
      </c>
      <c r="B93" s="2" t="s">
        <v>279</v>
      </c>
      <c r="C93" s="1" t="s">
        <v>283</v>
      </c>
      <c r="D93" s="8">
        <f>IFERROR(SUMIFS(ENTRADASBODEGA[CANTIDAD],ENTRADASBODEGA[DESCRIPCIÓN],INVENTARIOBODEGA[[#This Row],[DESCRIPCIÓN]],ENTRADASBODEGA[LOTE],INVENTARIOBODEGA[[#This Row],[LOTE]]),"-")</f>
        <v>4</v>
      </c>
      <c r="E93" s="8">
        <f>IFERROR(SUMIFS(SALIDASBODEGA[CANTIDAD],SALIDASBODEGA[DESCRIPCIÓN],INVENTARIOBODEGA[[#This Row],[DESCRIPCIÓN]],SALIDASBODEGA[LOTE],INVENTARIOBODEGA[[#This Row],[LOTE]]),"-")</f>
        <v>0</v>
      </c>
      <c r="F93" s="8">
        <f>INVENTARIOBODEGA[[#This Row],[ENTRADAS]]-INVENTARIOBODEGA[[#This Row],[SALIDAS ]]</f>
        <v>4</v>
      </c>
      <c r="G93" s="1"/>
      <c r="H93" s="9">
        <f>INVENTARIOBODEGA[[#This Row],[COSTO UNITARIO]]*INVENTARIOBODEGA[[#This Row],[STOCK ACTUAL]]</f>
        <v>0</v>
      </c>
    </row>
    <row r="94" spans="1:8" ht="16" x14ac:dyDescent="0.2">
      <c r="A94" s="2" t="s">
        <v>287</v>
      </c>
      <c r="B94" s="2" t="s">
        <v>278</v>
      </c>
      <c r="C94" s="1" t="s">
        <v>283</v>
      </c>
      <c r="D94" s="8">
        <f>IFERROR(SUMIFS(ENTRADASBODEGA[CANTIDAD],ENTRADASBODEGA[DESCRIPCIÓN],INVENTARIOBODEGA[[#This Row],[DESCRIPCIÓN]],ENTRADASBODEGA[LOTE],INVENTARIOBODEGA[[#This Row],[LOTE]]),"-")</f>
        <v>1</v>
      </c>
      <c r="E94" s="8">
        <f>IFERROR(SUMIFS(SALIDASBODEGA[CANTIDAD],SALIDASBODEGA[DESCRIPCIÓN],INVENTARIOBODEGA[[#This Row],[DESCRIPCIÓN]],SALIDASBODEGA[LOTE],INVENTARIOBODEGA[[#This Row],[LOTE]]),"-")</f>
        <v>0</v>
      </c>
      <c r="F94" s="8">
        <f>INVENTARIOBODEGA[[#This Row],[ENTRADAS]]-INVENTARIOBODEGA[[#This Row],[SALIDAS ]]</f>
        <v>1</v>
      </c>
      <c r="G94" s="1"/>
      <c r="H94" s="9">
        <f>INVENTARIOBODEGA[[#This Row],[COSTO UNITARIO]]*INVENTARIOBODEGA[[#This Row],[STOCK ACTUAL]]</f>
        <v>0</v>
      </c>
    </row>
    <row r="95" spans="1:8" ht="16" x14ac:dyDescent="0.2">
      <c r="A95" s="2" t="s">
        <v>226</v>
      </c>
      <c r="B95" s="2" t="s">
        <v>98</v>
      </c>
      <c r="C95" s="1" t="s">
        <v>145</v>
      </c>
      <c r="D95" s="8">
        <f>IFERROR(SUMIFS(ENTRADASBODEGA[CANTIDAD],ENTRADASBODEGA[DESCRIPCIÓN],INVENTARIOBODEGA[[#This Row],[DESCRIPCIÓN]],ENTRADASBODEGA[LOTE],INVENTARIOBODEGA[[#This Row],[LOTE]]),"-")</f>
        <v>96</v>
      </c>
      <c r="E95" s="8">
        <f>IFERROR(SUMIFS(SALIDASBODEGA[CANTIDAD],SALIDASBODEGA[DESCRIPCIÓN],INVENTARIOBODEGA[[#This Row],[DESCRIPCIÓN]],SALIDASBODEGA[LOTE],INVENTARIOBODEGA[[#This Row],[LOTE]]),"-")</f>
        <v>2</v>
      </c>
      <c r="F95" s="8">
        <f>INVENTARIOBODEGA[[#This Row],[ENTRADAS]]-INVENTARIOBODEGA[[#This Row],[SALIDAS ]]</f>
        <v>94</v>
      </c>
      <c r="G95" s="1"/>
      <c r="H95" s="9">
        <f>INVENTARIOBODEGA[[#This Row],[COSTO UNITARIO]]*INVENTARIOBODEGA[[#This Row],[STOCK ACTUAL]]</f>
        <v>0</v>
      </c>
    </row>
    <row r="96" spans="1:8" ht="16" x14ac:dyDescent="0.2">
      <c r="A96" s="2" t="s">
        <v>225</v>
      </c>
      <c r="B96" s="2" t="s">
        <v>99</v>
      </c>
      <c r="C96" s="1" t="s">
        <v>145</v>
      </c>
      <c r="D96" s="8">
        <f>IFERROR(SUMIFS(ENTRADASBODEGA[CANTIDAD],ENTRADASBODEGA[DESCRIPCIÓN],INVENTARIOBODEGA[[#This Row],[DESCRIPCIÓN]],ENTRADASBODEGA[LOTE],INVENTARIOBODEGA[[#This Row],[LOTE]]),"-")</f>
        <v>172</v>
      </c>
      <c r="E96" s="8">
        <f>IFERROR(SUMIFS(SALIDASBODEGA[CANTIDAD],SALIDASBODEGA[DESCRIPCIÓN],INVENTARIOBODEGA[[#This Row],[DESCRIPCIÓN]],SALIDASBODEGA[LOTE],INVENTARIOBODEGA[[#This Row],[LOTE]]),"-")</f>
        <v>1</v>
      </c>
      <c r="F96" s="8">
        <f>INVENTARIOBODEGA[[#This Row],[ENTRADAS]]-INVENTARIOBODEGA[[#This Row],[SALIDAS ]]</f>
        <v>171</v>
      </c>
      <c r="G96" s="1"/>
      <c r="H96" s="9">
        <f>INVENTARIOBODEGA[[#This Row],[COSTO UNITARIO]]*INVENTARIOBODEGA[[#This Row],[STOCK ACTUAL]]</f>
        <v>0</v>
      </c>
    </row>
    <row r="97" spans="1:8" ht="16" x14ac:dyDescent="0.2">
      <c r="A97" s="2" t="s">
        <v>224</v>
      </c>
      <c r="B97" s="2" t="s">
        <v>97</v>
      </c>
      <c r="C97" s="1" t="s">
        <v>145</v>
      </c>
      <c r="D97" s="8">
        <f>IFERROR(SUMIFS(ENTRADASBODEGA[CANTIDAD],ENTRADASBODEGA[DESCRIPCIÓN],INVENTARIOBODEGA[[#This Row],[DESCRIPCIÓN]],ENTRADASBODEGA[LOTE],INVENTARIOBODEGA[[#This Row],[LOTE]]),"-")</f>
        <v>28</v>
      </c>
      <c r="E97" s="8">
        <f>IFERROR(SUMIFS(SALIDASBODEGA[CANTIDAD],SALIDASBODEGA[DESCRIPCIÓN],INVENTARIOBODEGA[[#This Row],[DESCRIPCIÓN]],SALIDASBODEGA[LOTE],INVENTARIOBODEGA[[#This Row],[LOTE]]),"-")</f>
        <v>1</v>
      </c>
      <c r="F97" s="8">
        <f>INVENTARIOBODEGA[[#This Row],[ENTRADAS]]-INVENTARIOBODEGA[[#This Row],[SALIDAS ]]</f>
        <v>27</v>
      </c>
      <c r="G97" s="1"/>
      <c r="H97" s="9">
        <f>INVENTARIOBODEGA[[#This Row],[COSTO UNITARIO]]*INVENTARIOBODEGA[[#This Row],[STOCK ACTUAL]]</f>
        <v>0</v>
      </c>
    </row>
    <row r="98" spans="1:8" ht="16" x14ac:dyDescent="0.2">
      <c r="A98" s="2" t="s">
        <v>223</v>
      </c>
      <c r="B98" s="2" t="s">
        <v>96</v>
      </c>
      <c r="C98" s="1" t="s">
        <v>145</v>
      </c>
      <c r="D98" s="8">
        <f>IFERROR(SUMIFS(ENTRADASBODEGA[CANTIDAD],ENTRADASBODEGA[DESCRIPCIÓN],INVENTARIOBODEGA[[#This Row],[DESCRIPCIÓN]],ENTRADASBODEGA[LOTE],INVENTARIOBODEGA[[#This Row],[LOTE]]),"-")</f>
        <v>69</v>
      </c>
      <c r="E98" s="8">
        <f>IFERROR(SUMIFS(SALIDASBODEGA[CANTIDAD],SALIDASBODEGA[DESCRIPCIÓN],INVENTARIOBODEGA[[#This Row],[DESCRIPCIÓN]],SALIDASBODEGA[LOTE],INVENTARIOBODEGA[[#This Row],[LOTE]]),"-")</f>
        <v>1</v>
      </c>
      <c r="F98" s="8">
        <f>INVENTARIOBODEGA[[#This Row],[ENTRADAS]]-INVENTARIOBODEGA[[#This Row],[SALIDAS ]]</f>
        <v>68</v>
      </c>
      <c r="G98" s="1"/>
      <c r="H98" s="9">
        <f>INVENTARIOBODEGA[[#This Row],[COSTO UNITARIO]]*INVENTARIOBODEGA[[#This Row],[STOCK ACTUAL]]</f>
        <v>0</v>
      </c>
    </row>
    <row r="99" spans="1:8" ht="16" x14ac:dyDescent="0.2">
      <c r="A99" s="2" t="s">
        <v>208</v>
      </c>
      <c r="B99" s="2" t="s">
        <v>66</v>
      </c>
      <c r="C99" s="1" t="s">
        <v>85</v>
      </c>
      <c r="D99" s="8">
        <f>IFERROR(SUMIFS(ENTRADASBODEGA[CANTIDAD],ENTRADASBODEGA[DESCRIPCIÓN],INVENTARIOBODEGA[[#This Row],[DESCRIPCIÓN]],ENTRADASBODEGA[LOTE],INVENTARIOBODEGA[[#This Row],[LOTE]]),"-")</f>
        <v>5</v>
      </c>
      <c r="E99" s="8">
        <f>IFERROR(SUMIFS(SALIDASBODEGA[CANTIDAD],SALIDASBODEGA[DESCRIPCIÓN],INVENTARIOBODEGA[[#This Row],[DESCRIPCIÓN]],SALIDASBODEGA[LOTE],INVENTARIOBODEGA[[#This Row],[LOTE]]),"-")</f>
        <v>0</v>
      </c>
      <c r="F99" s="8">
        <f>INVENTARIOBODEGA[[#This Row],[ENTRADAS]]-INVENTARIOBODEGA[[#This Row],[SALIDAS ]]</f>
        <v>5</v>
      </c>
      <c r="G99" s="1"/>
      <c r="H99" s="9">
        <f>INVENTARIOBODEGA[[#This Row],[COSTO UNITARIO]]*INVENTARIOBODEGA[[#This Row],[STOCK ACTUAL]]</f>
        <v>0</v>
      </c>
    </row>
    <row r="100" spans="1:8" ht="16" x14ac:dyDescent="0.2">
      <c r="A100" s="2" t="s">
        <v>187</v>
      </c>
      <c r="B100" s="2" t="s">
        <v>44</v>
      </c>
      <c r="C100" s="1" t="s">
        <v>79</v>
      </c>
      <c r="D100" s="8">
        <f>IFERROR(SUMIFS(ENTRADASBODEGA[CANTIDAD],ENTRADASBODEGA[DESCRIPCIÓN],INVENTARIOBODEGA[[#This Row],[DESCRIPCIÓN]],ENTRADASBODEGA[LOTE],INVENTARIOBODEGA[[#This Row],[LOTE]]),"-")</f>
        <v>2</v>
      </c>
      <c r="E100" s="8">
        <f>IFERROR(SUMIFS(SALIDASBODEGA[CANTIDAD],SALIDASBODEGA[DESCRIPCIÓN],INVENTARIOBODEGA[[#This Row],[DESCRIPCIÓN]],SALIDASBODEGA[LOTE],INVENTARIOBODEGA[[#This Row],[LOTE]]),"-")</f>
        <v>0</v>
      </c>
      <c r="F100" s="8">
        <f>INVENTARIOBODEGA[[#This Row],[ENTRADAS]]-INVENTARIOBODEGA[[#This Row],[SALIDAS ]]</f>
        <v>2</v>
      </c>
      <c r="G100" s="1"/>
      <c r="H100" s="9">
        <f>INVENTARIOBODEGA[[#This Row],[COSTO UNITARIO]]*INVENTARIOBODEGA[[#This Row],[STOCK ACTUAL]]</f>
        <v>0</v>
      </c>
    </row>
    <row r="101" spans="1:8" ht="16" x14ac:dyDescent="0.2">
      <c r="A101" s="2" t="s">
        <v>294</v>
      </c>
      <c r="B101" s="2" t="s">
        <v>292</v>
      </c>
      <c r="C101" s="1" t="s">
        <v>90</v>
      </c>
      <c r="D101" s="8">
        <f>IFERROR(SUMIFS(ENTRADASBODEGA[CANTIDAD],ENTRADASBODEGA[DESCRIPCIÓN],INVENTARIOBODEGA[[#This Row],[DESCRIPCIÓN]],ENTRADASBODEGA[LOTE],INVENTARIOBODEGA[[#This Row],[LOTE]]),"-")</f>
        <v>1</v>
      </c>
      <c r="E101" s="8">
        <f>IFERROR(SUMIFS(SALIDASBODEGA[CANTIDAD],SALIDASBODEGA[DESCRIPCIÓN],INVENTARIOBODEGA[[#This Row],[DESCRIPCIÓN]],SALIDASBODEGA[LOTE],INVENTARIOBODEGA[[#This Row],[LOTE]]),"-")</f>
        <v>0</v>
      </c>
      <c r="F101" s="8">
        <f>INVENTARIOBODEGA[[#This Row],[ENTRADAS]]-INVENTARIOBODEGA[[#This Row],[SALIDAS ]]</f>
        <v>1</v>
      </c>
      <c r="G101" s="1"/>
      <c r="H101" s="9">
        <f>INVENTARIOBODEGA[[#This Row],[COSTO UNITARIO]]*INVENTARIOBODEGA[[#This Row],[STOCK ACTUAL]]</f>
        <v>0</v>
      </c>
    </row>
    <row r="102" spans="1:8" ht="16" x14ac:dyDescent="0.2">
      <c r="A102" s="2" t="s">
        <v>574</v>
      </c>
      <c r="B102" s="2" t="s">
        <v>542</v>
      </c>
      <c r="C102" s="1" t="s">
        <v>468</v>
      </c>
      <c r="D102" s="8">
        <f>IFERROR(SUMIFS(ENTRADASBODEGA[CANTIDAD],ENTRADASBODEGA[DESCRIPCIÓN],INVENTARIOBODEGA[[#This Row],[DESCRIPCIÓN]],ENTRADASBODEGA[LOTE],INVENTARIOBODEGA[[#This Row],[LOTE]]),"-")</f>
        <v>5</v>
      </c>
      <c r="E102" s="8">
        <f>IFERROR(SUMIFS(SALIDASBODEGA[CANTIDAD],SALIDASBODEGA[DESCRIPCIÓN],INVENTARIOBODEGA[[#This Row],[DESCRIPCIÓN]],SALIDASBODEGA[LOTE],INVENTARIOBODEGA[[#This Row],[LOTE]]),"-")</f>
        <v>0</v>
      </c>
      <c r="F102" s="8">
        <f>INVENTARIOBODEGA[[#This Row],[ENTRADAS]]-INVENTARIOBODEGA[[#This Row],[SALIDAS ]]</f>
        <v>5</v>
      </c>
      <c r="G102" s="1"/>
      <c r="H102" s="9">
        <f>INVENTARIOBODEGA[[#This Row],[COSTO UNITARIO]]*INVENTARIOBODEGA[[#This Row],[STOCK ACTUAL]]</f>
        <v>0</v>
      </c>
    </row>
    <row r="103" spans="1:8" ht="16" x14ac:dyDescent="0.2">
      <c r="A103" s="2" t="s">
        <v>573</v>
      </c>
      <c r="B103" s="2" t="s">
        <v>541</v>
      </c>
      <c r="C103" s="1" t="s">
        <v>468</v>
      </c>
      <c r="D103" s="8">
        <f>IFERROR(SUMIFS(ENTRADASBODEGA[CANTIDAD],ENTRADASBODEGA[DESCRIPCIÓN],INVENTARIOBODEGA[[#This Row],[DESCRIPCIÓN]],ENTRADASBODEGA[LOTE],INVENTARIOBODEGA[[#This Row],[LOTE]]),"-")</f>
        <v>50</v>
      </c>
      <c r="E103" s="8">
        <f>IFERROR(SUMIFS(SALIDASBODEGA[CANTIDAD],SALIDASBODEGA[DESCRIPCIÓN],INVENTARIOBODEGA[[#This Row],[DESCRIPCIÓN]],SALIDASBODEGA[LOTE],INVENTARIOBODEGA[[#This Row],[LOTE]]),"-")</f>
        <v>0</v>
      </c>
      <c r="F103" s="8">
        <f>INVENTARIOBODEGA[[#This Row],[ENTRADAS]]-INVENTARIOBODEGA[[#This Row],[SALIDAS ]]</f>
        <v>50</v>
      </c>
      <c r="G103" s="1"/>
      <c r="H103" s="9">
        <f>INVENTARIOBODEGA[[#This Row],[COSTO UNITARIO]]*INVENTARIOBODEGA[[#This Row],[STOCK ACTUAL]]</f>
        <v>0</v>
      </c>
    </row>
    <row r="104" spans="1:8" ht="16" x14ac:dyDescent="0.2">
      <c r="A104" s="2" t="s">
        <v>246</v>
      </c>
      <c r="B104" s="2" t="s">
        <v>116</v>
      </c>
      <c r="C104" s="1" t="s">
        <v>90</v>
      </c>
      <c r="D104" s="8">
        <f>IFERROR(SUMIFS(ENTRADASBODEGA[CANTIDAD],ENTRADASBODEGA[DESCRIPCIÓN],INVENTARIOBODEGA[[#This Row],[DESCRIPCIÓN]],ENTRADASBODEGA[LOTE],INVENTARIOBODEGA[[#This Row],[LOTE]]),"-")</f>
        <v>66</v>
      </c>
      <c r="E104" s="8">
        <f>IFERROR(SUMIFS(SALIDASBODEGA[CANTIDAD],SALIDASBODEGA[DESCRIPCIÓN],INVENTARIOBODEGA[[#This Row],[DESCRIPCIÓN]],SALIDASBODEGA[LOTE],INVENTARIOBODEGA[[#This Row],[LOTE]]),"-")</f>
        <v>10</v>
      </c>
      <c r="F104" s="8">
        <f>INVENTARIOBODEGA[[#This Row],[ENTRADAS]]-INVENTARIOBODEGA[[#This Row],[SALIDAS ]]</f>
        <v>56</v>
      </c>
      <c r="G104" s="1"/>
      <c r="H104" s="9">
        <f>INVENTARIOBODEGA[[#This Row],[COSTO UNITARIO]]*INVENTARIOBODEGA[[#This Row],[STOCK ACTUAL]]</f>
        <v>0</v>
      </c>
    </row>
    <row r="105" spans="1:8" ht="16" x14ac:dyDescent="0.2">
      <c r="A105" s="2" t="s">
        <v>575</v>
      </c>
      <c r="B105" s="2" t="s">
        <v>543</v>
      </c>
      <c r="C105" s="1" t="s">
        <v>80</v>
      </c>
      <c r="D105" s="8">
        <f>IFERROR(SUMIFS(ENTRADASBODEGA[CANTIDAD],ENTRADASBODEGA[DESCRIPCIÓN],INVENTARIOBODEGA[[#This Row],[DESCRIPCIÓN]],ENTRADASBODEGA[LOTE],INVENTARIOBODEGA[[#This Row],[LOTE]]),"-")</f>
        <v>50</v>
      </c>
      <c r="E105" s="8">
        <f>IFERROR(SUMIFS(SALIDASBODEGA[CANTIDAD],SALIDASBODEGA[DESCRIPCIÓN],INVENTARIOBODEGA[[#This Row],[DESCRIPCIÓN]],SALIDASBODEGA[LOTE],INVENTARIOBODEGA[[#This Row],[LOTE]]),"-")</f>
        <v>0</v>
      </c>
      <c r="F105" s="8">
        <f>INVENTARIOBODEGA[[#This Row],[ENTRADAS]]-INVENTARIOBODEGA[[#This Row],[SALIDAS ]]</f>
        <v>50</v>
      </c>
      <c r="G105" s="1"/>
      <c r="H105" s="9">
        <f>INVENTARIOBODEGA[[#This Row],[COSTO UNITARIO]]*INVENTARIOBODEGA[[#This Row],[STOCK ACTUAL]]</f>
        <v>0</v>
      </c>
    </row>
    <row r="106" spans="1:8" ht="16" x14ac:dyDescent="0.2">
      <c r="A106" s="2" t="s">
        <v>576</v>
      </c>
      <c r="B106" s="2" t="s">
        <v>544</v>
      </c>
      <c r="C106" s="1" t="s">
        <v>80</v>
      </c>
      <c r="D106" s="8">
        <f>IFERROR(SUMIFS(ENTRADASBODEGA[CANTIDAD],ENTRADASBODEGA[DESCRIPCIÓN],INVENTARIOBODEGA[[#This Row],[DESCRIPCIÓN]],ENTRADASBODEGA[LOTE],INVENTARIOBODEGA[[#This Row],[LOTE]]),"-")</f>
        <v>50</v>
      </c>
      <c r="E106" s="8">
        <f>IFERROR(SUMIFS(SALIDASBODEGA[CANTIDAD],SALIDASBODEGA[DESCRIPCIÓN],INVENTARIOBODEGA[[#This Row],[DESCRIPCIÓN]],SALIDASBODEGA[LOTE],INVENTARIOBODEGA[[#This Row],[LOTE]]),"-")</f>
        <v>4</v>
      </c>
      <c r="F106" s="8">
        <f>INVENTARIOBODEGA[[#This Row],[ENTRADAS]]-INVENTARIOBODEGA[[#This Row],[SALIDAS ]]</f>
        <v>46</v>
      </c>
      <c r="G106" s="1"/>
      <c r="H106" s="9">
        <f>INVENTARIOBODEGA[[#This Row],[COSTO UNITARIO]]*INVENTARIOBODEGA[[#This Row],[STOCK ACTUAL]]</f>
        <v>0</v>
      </c>
    </row>
    <row r="107" spans="1:8" ht="16" x14ac:dyDescent="0.2">
      <c r="A107" s="2" t="s">
        <v>166</v>
      </c>
      <c r="B107" s="2" t="s">
        <v>24</v>
      </c>
      <c r="C107" s="1" t="s">
        <v>80</v>
      </c>
      <c r="D107" s="8">
        <f>IFERROR(SUMIFS(ENTRADASBODEGA[CANTIDAD],ENTRADASBODEGA[DESCRIPCIÓN],INVENTARIOBODEGA[[#This Row],[DESCRIPCIÓN]],ENTRADASBODEGA[LOTE],INVENTARIOBODEGA[[#This Row],[LOTE]]),"-")</f>
        <v>13</v>
      </c>
      <c r="E107" s="8">
        <f>IFERROR(SUMIFS(SALIDASBODEGA[CANTIDAD],SALIDASBODEGA[DESCRIPCIÓN],INVENTARIOBODEGA[[#This Row],[DESCRIPCIÓN]],SALIDASBODEGA[LOTE],INVENTARIOBODEGA[[#This Row],[LOTE]]),"-")</f>
        <v>0</v>
      </c>
      <c r="F107" s="8">
        <f>INVENTARIOBODEGA[[#This Row],[ENTRADAS]]-INVENTARIOBODEGA[[#This Row],[SALIDAS ]]</f>
        <v>13</v>
      </c>
      <c r="G107" s="1"/>
      <c r="H107" s="9">
        <f>INVENTARIOBODEGA[[#This Row],[COSTO UNITARIO]]*INVENTARIOBODEGA[[#This Row],[STOCK ACTUAL]]</f>
        <v>0</v>
      </c>
    </row>
    <row r="108" spans="1:8" ht="16" x14ac:dyDescent="0.2">
      <c r="A108" s="2" t="s">
        <v>286</v>
      </c>
      <c r="B108" s="2" t="s">
        <v>276</v>
      </c>
      <c r="C108" s="1" t="s">
        <v>80</v>
      </c>
      <c r="D108" s="8">
        <f>IFERROR(SUMIFS(ENTRADASBODEGA[CANTIDAD],ENTRADASBODEGA[DESCRIPCIÓN],INVENTARIOBODEGA[[#This Row],[DESCRIPCIÓN]],ENTRADASBODEGA[LOTE],INVENTARIOBODEGA[[#This Row],[LOTE]]),"-")</f>
        <v>23</v>
      </c>
      <c r="E108" s="8">
        <f>IFERROR(SUMIFS(SALIDASBODEGA[CANTIDAD],SALIDASBODEGA[DESCRIPCIÓN],INVENTARIOBODEGA[[#This Row],[DESCRIPCIÓN]],SALIDASBODEGA[LOTE],INVENTARIOBODEGA[[#This Row],[LOTE]]),"-")</f>
        <v>1</v>
      </c>
      <c r="F108" s="8">
        <f>INVENTARIOBODEGA[[#This Row],[ENTRADAS]]-INVENTARIOBODEGA[[#This Row],[SALIDAS ]]</f>
        <v>22</v>
      </c>
      <c r="G108" s="1"/>
      <c r="H108" s="9">
        <f>INVENTARIOBODEGA[[#This Row],[COSTO UNITARIO]]*INVENTARIOBODEGA[[#This Row],[STOCK ACTUAL]]</f>
        <v>0</v>
      </c>
    </row>
    <row r="109" spans="1:8" ht="16" x14ac:dyDescent="0.2">
      <c r="A109" s="2" t="s">
        <v>216</v>
      </c>
      <c r="B109" s="2" t="s">
        <v>74</v>
      </c>
      <c r="C109" s="1" t="s">
        <v>80</v>
      </c>
      <c r="D109" s="8">
        <f>IFERROR(SUMIFS(ENTRADASBODEGA[CANTIDAD],ENTRADASBODEGA[DESCRIPCIÓN],INVENTARIOBODEGA[[#This Row],[DESCRIPCIÓN]],ENTRADASBODEGA[LOTE],INVENTARIOBODEGA[[#This Row],[LOTE]]),"-")</f>
        <v>20</v>
      </c>
      <c r="E109" s="8">
        <f>IFERROR(SUMIFS(SALIDASBODEGA[CANTIDAD],SALIDASBODEGA[DESCRIPCIÓN],INVENTARIOBODEGA[[#This Row],[DESCRIPCIÓN]],SALIDASBODEGA[LOTE],INVENTARIOBODEGA[[#This Row],[LOTE]]),"-")</f>
        <v>0</v>
      </c>
      <c r="F109" s="8">
        <f>INVENTARIOBODEGA[[#This Row],[ENTRADAS]]-INVENTARIOBODEGA[[#This Row],[SALIDAS ]]</f>
        <v>20</v>
      </c>
      <c r="G109" s="1"/>
      <c r="H109" s="9">
        <f>INVENTARIOBODEGA[[#This Row],[COSTO UNITARIO]]*INVENTARIOBODEGA[[#This Row],[STOCK ACTUAL]]</f>
        <v>0</v>
      </c>
    </row>
    <row r="110" spans="1:8" ht="16" x14ac:dyDescent="0.2">
      <c r="A110" s="2" t="s">
        <v>167</v>
      </c>
      <c r="B110" s="2" t="s">
        <v>25</v>
      </c>
      <c r="C110" s="1" t="s">
        <v>80</v>
      </c>
      <c r="D110" s="8">
        <f>IFERROR(SUMIFS(ENTRADASBODEGA[CANTIDAD],ENTRADASBODEGA[DESCRIPCIÓN],INVENTARIOBODEGA[[#This Row],[DESCRIPCIÓN]],ENTRADASBODEGA[LOTE],INVENTARIOBODEGA[[#This Row],[LOTE]]),"-")</f>
        <v>18</v>
      </c>
      <c r="E110" s="8">
        <f>IFERROR(SUMIFS(SALIDASBODEGA[CANTIDAD],SALIDASBODEGA[DESCRIPCIÓN],INVENTARIOBODEGA[[#This Row],[DESCRIPCIÓN]],SALIDASBODEGA[LOTE],INVENTARIOBODEGA[[#This Row],[LOTE]]),"-")</f>
        <v>1</v>
      </c>
      <c r="F110" s="8">
        <f>INVENTARIOBODEGA[[#This Row],[ENTRADAS]]-INVENTARIOBODEGA[[#This Row],[SALIDAS ]]</f>
        <v>17</v>
      </c>
      <c r="G110" s="1"/>
      <c r="H110" s="9">
        <f>INVENTARIOBODEGA[[#This Row],[COSTO UNITARIO]]*INVENTARIOBODEGA[[#This Row],[STOCK ACTUAL]]</f>
        <v>0</v>
      </c>
    </row>
    <row r="111" spans="1:8" ht="16" x14ac:dyDescent="0.2">
      <c r="A111" s="2" t="s">
        <v>236</v>
      </c>
      <c r="B111" s="2" t="s">
        <v>108</v>
      </c>
      <c r="C111" s="1" t="s">
        <v>79</v>
      </c>
      <c r="D111" s="8">
        <f>IFERROR(SUMIFS(ENTRADASBODEGA[CANTIDAD],ENTRADASBODEGA[DESCRIPCIÓN],INVENTARIOBODEGA[[#This Row],[DESCRIPCIÓN]],ENTRADASBODEGA[LOTE],INVENTARIOBODEGA[[#This Row],[LOTE]]),"-")</f>
        <v>22</v>
      </c>
      <c r="E111" s="8">
        <f>IFERROR(SUMIFS(SALIDASBODEGA[CANTIDAD],SALIDASBODEGA[DESCRIPCIÓN],INVENTARIOBODEGA[[#This Row],[DESCRIPCIÓN]],SALIDASBODEGA[LOTE],INVENTARIOBODEGA[[#This Row],[LOTE]]),"-")</f>
        <v>0</v>
      </c>
      <c r="F111" s="8">
        <f>INVENTARIOBODEGA[[#This Row],[ENTRADAS]]-INVENTARIOBODEGA[[#This Row],[SALIDAS ]]</f>
        <v>22</v>
      </c>
      <c r="G111" s="1"/>
      <c r="H111" s="9">
        <f>INVENTARIOBODEGA[[#This Row],[COSTO UNITARIO]]*INVENTARIOBODEGA[[#This Row],[STOCK ACTUAL]]</f>
        <v>0</v>
      </c>
    </row>
    <row r="112" spans="1:8" ht="16" x14ac:dyDescent="0.2">
      <c r="A112" s="2" t="s">
        <v>239</v>
      </c>
      <c r="B112" s="2" t="s">
        <v>110</v>
      </c>
      <c r="C112" s="1" t="s">
        <v>79</v>
      </c>
      <c r="D112" s="8">
        <f>IFERROR(SUMIFS(ENTRADASBODEGA[CANTIDAD],ENTRADASBODEGA[DESCRIPCIÓN],INVENTARIOBODEGA[[#This Row],[DESCRIPCIÓN]],ENTRADASBODEGA[LOTE],INVENTARIOBODEGA[[#This Row],[LOTE]]),"-")</f>
        <v>36</v>
      </c>
      <c r="E112" s="8">
        <f>IFERROR(SUMIFS(SALIDASBODEGA[CANTIDAD],SALIDASBODEGA[DESCRIPCIÓN],INVENTARIOBODEGA[[#This Row],[DESCRIPCIÓN]],SALIDASBODEGA[LOTE],INVENTARIOBODEGA[[#This Row],[LOTE]]),"-")</f>
        <v>0</v>
      </c>
      <c r="F112" s="8">
        <f>INVENTARIOBODEGA[[#This Row],[ENTRADAS]]-INVENTARIOBODEGA[[#This Row],[SALIDAS ]]</f>
        <v>36</v>
      </c>
      <c r="G112" s="1"/>
      <c r="H112" s="9">
        <f>INVENTARIOBODEGA[[#This Row],[COSTO UNITARIO]]*INVENTARIOBODEGA[[#This Row],[STOCK ACTUAL]]</f>
        <v>0</v>
      </c>
    </row>
    <row r="113" spans="1:8" ht="16" x14ac:dyDescent="0.2">
      <c r="A113" s="2" t="s">
        <v>291</v>
      </c>
      <c r="B113" s="2" t="s">
        <v>282</v>
      </c>
      <c r="C113" s="1" t="s">
        <v>79</v>
      </c>
      <c r="D113" s="8">
        <f>IFERROR(SUMIFS(ENTRADASBODEGA[CANTIDAD],ENTRADASBODEGA[DESCRIPCIÓN],INVENTARIOBODEGA[[#This Row],[DESCRIPCIÓN]],ENTRADASBODEGA[LOTE],INVENTARIOBODEGA[[#This Row],[LOTE]]),"-")</f>
        <v>1</v>
      </c>
      <c r="E113" s="8">
        <f>IFERROR(SUMIFS(SALIDASBODEGA[CANTIDAD],SALIDASBODEGA[DESCRIPCIÓN],INVENTARIOBODEGA[[#This Row],[DESCRIPCIÓN]],SALIDASBODEGA[LOTE],INVENTARIOBODEGA[[#This Row],[LOTE]]),"-")</f>
        <v>0</v>
      </c>
      <c r="F113" s="8">
        <f>INVENTARIOBODEGA[[#This Row],[ENTRADAS]]-INVENTARIOBODEGA[[#This Row],[SALIDAS ]]</f>
        <v>1</v>
      </c>
      <c r="G113" s="1"/>
      <c r="H113" s="9">
        <f>INVENTARIOBODEGA[[#This Row],[COSTO UNITARIO]]*INVENTARIOBODEGA[[#This Row],[STOCK ACTUAL]]</f>
        <v>0</v>
      </c>
    </row>
    <row r="114" spans="1:8" ht="16" x14ac:dyDescent="0.2">
      <c r="A114" s="2" t="s">
        <v>577</v>
      </c>
      <c r="B114" s="2" t="s">
        <v>545</v>
      </c>
      <c r="C114" s="1" t="s">
        <v>79</v>
      </c>
      <c r="D114" s="8">
        <f>IFERROR(SUMIFS(ENTRADASBODEGA[CANTIDAD],ENTRADASBODEGA[DESCRIPCIÓN],INVENTARIOBODEGA[[#This Row],[DESCRIPCIÓN]],ENTRADASBODEGA[LOTE],INVENTARIOBODEGA[[#This Row],[LOTE]]),"-")</f>
        <v>100</v>
      </c>
      <c r="E114" s="8">
        <f>IFERROR(SUMIFS(SALIDASBODEGA[CANTIDAD],SALIDASBODEGA[DESCRIPCIÓN],INVENTARIOBODEGA[[#This Row],[DESCRIPCIÓN]],SALIDASBODEGA[LOTE],INVENTARIOBODEGA[[#This Row],[LOTE]]),"-")</f>
        <v>0</v>
      </c>
      <c r="F114" s="8">
        <f>INVENTARIOBODEGA[[#This Row],[ENTRADAS]]-INVENTARIOBODEGA[[#This Row],[SALIDAS ]]</f>
        <v>100</v>
      </c>
      <c r="G114" s="1"/>
      <c r="H114" s="9">
        <f>INVENTARIOBODEGA[[#This Row],[COSTO UNITARIO]]*INVENTARIOBODEGA[[#This Row],[STOCK ACTUAL]]</f>
        <v>0</v>
      </c>
    </row>
    <row r="115" spans="1:8" ht="16" x14ac:dyDescent="0.2">
      <c r="A115" s="2" t="s">
        <v>265</v>
      </c>
      <c r="B115" s="2" t="s">
        <v>134</v>
      </c>
      <c r="C115" s="1" t="s">
        <v>153</v>
      </c>
      <c r="D115" s="8">
        <f>IFERROR(SUMIFS(ENTRADASBODEGA[CANTIDAD],ENTRADASBODEGA[DESCRIPCIÓN],INVENTARIOBODEGA[[#This Row],[DESCRIPCIÓN]],ENTRADASBODEGA[LOTE],INVENTARIOBODEGA[[#This Row],[LOTE]]),"-")</f>
        <v>1</v>
      </c>
      <c r="E115" s="8">
        <f>IFERROR(SUMIFS(SALIDASBODEGA[CANTIDAD],SALIDASBODEGA[DESCRIPCIÓN],INVENTARIOBODEGA[[#This Row],[DESCRIPCIÓN]],SALIDASBODEGA[LOTE],INVENTARIOBODEGA[[#This Row],[LOTE]]),"-")</f>
        <v>0</v>
      </c>
      <c r="F115" s="8">
        <f>INVENTARIOBODEGA[[#This Row],[ENTRADAS]]-INVENTARIOBODEGA[[#This Row],[SALIDAS ]]</f>
        <v>1</v>
      </c>
      <c r="G115" s="1"/>
      <c r="H115" s="9">
        <f>INVENTARIOBODEGA[[#This Row],[COSTO UNITARIO]]*INVENTARIOBODEGA[[#This Row],[STOCK ACTUAL]]</f>
        <v>0</v>
      </c>
    </row>
    <row r="116" spans="1:8" ht="16" x14ac:dyDescent="0.2">
      <c r="A116" s="2" t="s">
        <v>263</v>
      </c>
      <c r="B116" s="2" t="s">
        <v>132</v>
      </c>
      <c r="C116" s="1" t="s">
        <v>153</v>
      </c>
      <c r="D116" s="8">
        <f>IFERROR(SUMIFS(ENTRADASBODEGA[CANTIDAD],ENTRADASBODEGA[DESCRIPCIÓN],INVENTARIOBODEGA[[#This Row],[DESCRIPCIÓN]],ENTRADASBODEGA[LOTE],INVENTARIOBODEGA[[#This Row],[LOTE]]),"-")</f>
        <v>1</v>
      </c>
      <c r="E116" s="8">
        <f>IFERROR(SUMIFS(SALIDASBODEGA[CANTIDAD],SALIDASBODEGA[DESCRIPCIÓN],INVENTARIOBODEGA[[#This Row],[DESCRIPCIÓN]],SALIDASBODEGA[LOTE],INVENTARIOBODEGA[[#This Row],[LOTE]]),"-")</f>
        <v>0</v>
      </c>
      <c r="F116" s="8">
        <f>INVENTARIOBODEGA[[#This Row],[ENTRADAS]]-INVENTARIOBODEGA[[#This Row],[SALIDAS ]]</f>
        <v>1</v>
      </c>
      <c r="G116" s="1"/>
      <c r="H116" s="9">
        <f>INVENTARIOBODEGA[[#This Row],[COSTO UNITARIO]]*INVENTARIOBODEGA[[#This Row],[STOCK ACTUAL]]</f>
        <v>0</v>
      </c>
    </row>
    <row r="117" spans="1:8" ht="16" x14ac:dyDescent="0.2">
      <c r="A117" s="2" t="s">
        <v>264</v>
      </c>
      <c r="B117" s="2" t="s">
        <v>133</v>
      </c>
      <c r="C117" s="1" t="s">
        <v>153</v>
      </c>
      <c r="D117" s="8">
        <f>IFERROR(SUMIFS(ENTRADASBODEGA[CANTIDAD],ENTRADASBODEGA[DESCRIPCIÓN],INVENTARIOBODEGA[[#This Row],[DESCRIPCIÓN]],ENTRADASBODEGA[LOTE],INVENTARIOBODEGA[[#This Row],[LOTE]]),"-")</f>
        <v>1</v>
      </c>
      <c r="E117" s="8">
        <f>IFERROR(SUMIFS(SALIDASBODEGA[CANTIDAD],SALIDASBODEGA[DESCRIPCIÓN],INVENTARIOBODEGA[[#This Row],[DESCRIPCIÓN]],SALIDASBODEGA[LOTE],INVENTARIOBODEGA[[#This Row],[LOTE]]),"-")</f>
        <v>1</v>
      </c>
      <c r="F117" s="8">
        <f>INVENTARIOBODEGA[[#This Row],[ENTRADAS]]-INVENTARIOBODEGA[[#This Row],[SALIDAS ]]</f>
        <v>0</v>
      </c>
      <c r="G117" s="1"/>
      <c r="H117" s="9">
        <f>INVENTARIOBODEGA[[#This Row],[COSTO UNITARIO]]*INVENTARIOBODEGA[[#This Row],[STOCK ACTUAL]]</f>
        <v>0</v>
      </c>
    </row>
    <row r="118" spans="1:8" ht="16" x14ac:dyDescent="0.2">
      <c r="A118" s="2" t="s">
        <v>106</v>
      </c>
      <c r="B118" s="3" t="s">
        <v>5</v>
      </c>
      <c r="C118" s="1" t="s">
        <v>6</v>
      </c>
      <c r="D118" s="8">
        <f>IFERROR(SUMIFS(ENTRADASBODEGA[CANTIDAD],ENTRADASBODEGA[DESCRIPCIÓN],INVENTARIOBODEGA[[#This Row],[DESCRIPCIÓN]],ENTRADASBODEGA[LOTE],INVENTARIOBODEGA[[#This Row],[LOTE]]),"-")</f>
        <v>22</v>
      </c>
      <c r="E118" s="8">
        <f>IFERROR(SUMIFS(SALIDASBODEGA[CANTIDAD],SALIDASBODEGA[DESCRIPCIÓN],INVENTARIOBODEGA[[#This Row],[DESCRIPCIÓN]],SALIDASBODEGA[LOTE],INVENTARIOBODEGA[[#This Row],[LOTE]]),"-")</f>
        <v>3</v>
      </c>
      <c r="F118" s="8">
        <f>INVENTARIOBODEGA[[#This Row],[ENTRADAS]]-INVENTARIOBODEGA[[#This Row],[SALIDAS ]]</f>
        <v>19</v>
      </c>
      <c r="G118" s="1"/>
      <c r="H118" s="9">
        <f>INVENTARIOBODEGA[[#This Row],[COSTO UNITARIO]]*INVENTARIOBODEGA[[#This Row],[STOCK ACTUAL]]</f>
        <v>0</v>
      </c>
    </row>
    <row r="119" spans="1:8" ht="16" x14ac:dyDescent="0.2">
      <c r="A119" s="2" t="s">
        <v>156</v>
      </c>
      <c r="B119" s="2" t="s">
        <v>11</v>
      </c>
      <c r="C119" s="1" t="s">
        <v>13</v>
      </c>
      <c r="D119" s="8">
        <f>IFERROR(SUMIFS(ENTRADASBODEGA[CANTIDAD],ENTRADASBODEGA[DESCRIPCIÓN],INVENTARIOBODEGA[[#This Row],[DESCRIPCIÓN]],ENTRADASBODEGA[LOTE],INVENTARIOBODEGA[[#This Row],[LOTE]]),"-")</f>
        <v>6</v>
      </c>
      <c r="E119" s="8">
        <f>IFERROR(SUMIFS(SALIDASBODEGA[CANTIDAD],SALIDASBODEGA[DESCRIPCIÓN],INVENTARIOBODEGA[[#This Row],[DESCRIPCIÓN]],SALIDASBODEGA[LOTE],INVENTARIOBODEGA[[#This Row],[LOTE]]),"-")</f>
        <v>0</v>
      </c>
      <c r="F119" s="8">
        <f>INVENTARIOBODEGA[[#This Row],[ENTRADAS]]-INVENTARIOBODEGA[[#This Row],[SALIDAS ]]</f>
        <v>6</v>
      </c>
      <c r="G119" s="1"/>
      <c r="H119" s="9">
        <f>INVENTARIOBODEGA[[#This Row],[COSTO UNITARIO]]*INVENTARIOBODEGA[[#This Row],[STOCK ACTUAL]]</f>
        <v>0</v>
      </c>
    </row>
    <row r="120" spans="1:8" ht="16" x14ac:dyDescent="0.2">
      <c r="A120" s="2" t="s">
        <v>217</v>
      </c>
      <c r="B120" s="2" t="s">
        <v>75</v>
      </c>
      <c r="C120" s="1" t="s">
        <v>92</v>
      </c>
      <c r="D120" s="8">
        <f>IFERROR(SUMIFS(ENTRADASBODEGA[CANTIDAD],ENTRADASBODEGA[DESCRIPCIÓN],INVENTARIOBODEGA[[#This Row],[DESCRIPCIÓN]],ENTRADASBODEGA[LOTE],INVENTARIOBODEGA[[#This Row],[LOTE]]),"-")</f>
        <v>38</v>
      </c>
      <c r="E120" s="8">
        <f>IFERROR(SUMIFS(SALIDASBODEGA[CANTIDAD],SALIDASBODEGA[DESCRIPCIÓN],INVENTARIOBODEGA[[#This Row],[DESCRIPCIÓN]],SALIDASBODEGA[LOTE],INVENTARIOBODEGA[[#This Row],[LOTE]]),"-")</f>
        <v>0</v>
      </c>
      <c r="F120" s="8">
        <f>INVENTARIOBODEGA[[#This Row],[ENTRADAS]]-INVENTARIOBODEGA[[#This Row],[SALIDAS ]]</f>
        <v>38</v>
      </c>
      <c r="G120" s="1"/>
      <c r="H120" s="9">
        <f>INVENTARIOBODEGA[[#This Row],[COSTO UNITARIO]]*INVENTARIOBODEGA[[#This Row],[STOCK ACTUAL]]</f>
        <v>0</v>
      </c>
    </row>
    <row r="121" spans="1:8" ht="16" x14ac:dyDescent="0.2">
      <c r="A121" s="2" t="s">
        <v>578</v>
      </c>
      <c r="B121" s="2" t="s">
        <v>546</v>
      </c>
      <c r="C121" s="1" t="s">
        <v>92</v>
      </c>
      <c r="D121" s="8">
        <f>IFERROR(SUMIFS(ENTRADASBODEGA[CANTIDAD],ENTRADASBODEGA[DESCRIPCIÓN],INVENTARIOBODEGA[[#This Row],[DESCRIPCIÓN]],ENTRADASBODEGA[LOTE],INVENTARIOBODEGA[[#This Row],[LOTE]]),"-")</f>
        <v>50</v>
      </c>
      <c r="E121" s="8">
        <f>IFERROR(SUMIFS(SALIDASBODEGA[CANTIDAD],SALIDASBODEGA[DESCRIPCIÓN],INVENTARIOBODEGA[[#This Row],[DESCRIPCIÓN]],SALIDASBODEGA[LOTE],INVENTARIOBODEGA[[#This Row],[LOTE]]),"-")</f>
        <v>0</v>
      </c>
      <c r="F121" s="8">
        <f>INVENTARIOBODEGA[[#This Row],[ENTRADAS]]-INVENTARIOBODEGA[[#This Row],[SALIDAS ]]</f>
        <v>50</v>
      </c>
      <c r="G121" s="1"/>
      <c r="H121" s="9">
        <f>INVENTARIOBODEGA[[#This Row],[COSTO UNITARIO]]*INVENTARIOBODEGA[[#This Row],[STOCK ACTUAL]]</f>
        <v>0</v>
      </c>
    </row>
    <row r="122" spans="1:8" ht="16" x14ac:dyDescent="0.2">
      <c r="A122" s="2" t="s">
        <v>218</v>
      </c>
      <c r="B122" s="2" t="s">
        <v>76</v>
      </c>
      <c r="C122" s="1" t="s">
        <v>92</v>
      </c>
      <c r="D122" s="8">
        <f>IFERROR(SUMIFS(ENTRADASBODEGA[CANTIDAD],ENTRADASBODEGA[DESCRIPCIÓN],INVENTARIOBODEGA[[#This Row],[DESCRIPCIÓN]],ENTRADASBODEGA[LOTE],INVENTARIOBODEGA[[#This Row],[LOTE]]),"-")</f>
        <v>33</v>
      </c>
      <c r="E122" s="8">
        <f>IFERROR(SUMIFS(SALIDASBODEGA[CANTIDAD],SALIDASBODEGA[DESCRIPCIÓN],INVENTARIOBODEGA[[#This Row],[DESCRIPCIÓN]],SALIDASBODEGA[LOTE],INVENTARIOBODEGA[[#This Row],[LOTE]]),"-")</f>
        <v>0</v>
      </c>
      <c r="F122" s="8">
        <f>INVENTARIOBODEGA[[#This Row],[ENTRADAS]]-INVENTARIOBODEGA[[#This Row],[SALIDAS ]]</f>
        <v>33</v>
      </c>
      <c r="G122" s="1"/>
      <c r="H122" s="9">
        <f>INVENTARIOBODEGA[[#This Row],[COSTO UNITARIO]]*INVENTARIOBODEGA[[#This Row],[STOCK ACTUAL]]</f>
        <v>0</v>
      </c>
    </row>
    <row r="123" spans="1:8" ht="16" x14ac:dyDescent="0.2">
      <c r="A123" s="2" t="s">
        <v>235</v>
      </c>
      <c r="B123" s="2" t="s">
        <v>509</v>
      </c>
      <c r="C123" s="1" t="s">
        <v>148</v>
      </c>
      <c r="D123" s="8">
        <f>IFERROR(SUMIFS(ENTRADASBODEGA[CANTIDAD],ENTRADASBODEGA[DESCRIPCIÓN],INVENTARIOBODEGA[[#This Row],[DESCRIPCIÓN]],ENTRADASBODEGA[LOTE],INVENTARIOBODEGA[[#This Row],[LOTE]]),"-")</f>
        <v>12</v>
      </c>
      <c r="E123" s="8">
        <f>IFERROR(SUMIFS(SALIDASBODEGA[CANTIDAD],SALIDASBODEGA[DESCRIPCIÓN],INVENTARIOBODEGA[[#This Row],[DESCRIPCIÓN]],SALIDASBODEGA[LOTE],INVENTARIOBODEGA[[#This Row],[LOTE]]),"-")</f>
        <v>2</v>
      </c>
      <c r="F123" s="8">
        <f>INVENTARIOBODEGA[[#This Row],[ENTRADAS]]-INVENTARIOBODEGA[[#This Row],[SALIDAS ]]</f>
        <v>10</v>
      </c>
      <c r="G123" s="1"/>
      <c r="H123" s="9">
        <f>INVENTARIOBODEGA[[#This Row],[COSTO UNITARIO]]*INVENTARIOBODEGA[[#This Row],[STOCK ACTUAL]]</f>
        <v>0</v>
      </c>
    </row>
    <row r="124" spans="1:8" ht="16" x14ac:dyDescent="0.2">
      <c r="A124" s="2" t="s">
        <v>523</v>
      </c>
      <c r="B124" s="2" t="s">
        <v>510</v>
      </c>
      <c r="C124" s="1" t="s">
        <v>148</v>
      </c>
      <c r="D124" s="8">
        <f>IFERROR(SUMIFS(ENTRADASBODEGA[CANTIDAD],ENTRADASBODEGA[DESCRIPCIÓN],INVENTARIOBODEGA[[#This Row],[DESCRIPCIÓN]],ENTRADASBODEGA[LOTE],INVENTARIOBODEGA[[#This Row],[LOTE]]),"-")</f>
        <v>10</v>
      </c>
      <c r="E124" s="8">
        <f>IFERROR(SUMIFS(SALIDASBODEGA[CANTIDAD],SALIDASBODEGA[DESCRIPCIÓN],INVENTARIOBODEGA[[#This Row],[DESCRIPCIÓN]],SALIDASBODEGA[LOTE],INVENTARIOBODEGA[[#This Row],[LOTE]]),"-")</f>
        <v>1</v>
      </c>
      <c r="F124" s="8">
        <f>INVENTARIOBODEGA[[#This Row],[ENTRADAS]]-INVENTARIOBODEGA[[#This Row],[SALIDAS ]]</f>
        <v>9</v>
      </c>
      <c r="G124" s="1"/>
      <c r="H124" s="9">
        <f>INVENTARIOBODEGA[[#This Row],[COSTO UNITARIO]]*INVENTARIOBODEGA[[#This Row],[STOCK ACTUAL]]</f>
        <v>0</v>
      </c>
    </row>
    <row r="125" spans="1:8" ht="16" x14ac:dyDescent="0.2">
      <c r="A125" s="2" t="s">
        <v>579</v>
      </c>
      <c r="B125" s="2" t="s">
        <v>547</v>
      </c>
      <c r="C125" s="1" t="s">
        <v>149</v>
      </c>
      <c r="D125" s="8">
        <f>IFERROR(SUMIFS(ENTRADASBODEGA[CANTIDAD],ENTRADASBODEGA[DESCRIPCIÓN],INVENTARIOBODEGA[[#This Row],[DESCRIPCIÓN]],ENTRADASBODEGA[LOTE],INVENTARIOBODEGA[[#This Row],[LOTE]]),"-")</f>
        <v>20</v>
      </c>
      <c r="E125" s="8">
        <f>IFERROR(SUMIFS(SALIDASBODEGA[CANTIDAD],SALIDASBODEGA[DESCRIPCIÓN],INVENTARIOBODEGA[[#This Row],[DESCRIPCIÓN]],SALIDASBODEGA[LOTE],INVENTARIOBODEGA[[#This Row],[LOTE]]),"-")</f>
        <v>0</v>
      </c>
      <c r="F125" s="8">
        <f>INVENTARIOBODEGA[[#This Row],[ENTRADAS]]-INVENTARIOBODEGA[[#This Row],[SALIDAS ]]</f>
        <v>20</v>
      </c>
      <c r="G125" s="1"/>
      <c r="H125" s="9">
        <f>INVENTARIOBODEGA[[#This Row],[COSTO UNITARIO]]*INVENTARIOBODEGA[[#This Row],[STOCK ACTUAL]]</f>
        <v>0</v>
      </c>
    </row>
    <row r="126" spans="1:8" ht="16" x14ac:dyDescent="0.2">
      <c r="A126" s="2" t="s">
        <v>580</v>
      </c>
      <c r="B126" s="2" t="s">
        <v>548</v>
      </c>
      <c r="C126" s="1" t="s">
        <v>149</v>
      </c>
      <c r="D126" s="8">
        <f>IFERROR(SUMIFS(ENTRADASBODEGA[CANTIDAD],ENTRADASBODEGA[DESCRIPCIÓN],INVENTARIOBODEGA[[#This Row],[DESCRIPCIÓN]],ENTRADASBODEGA[LOTE],INVENTARIOBODEGA[[#This Row],[LOTE]]),"-")</f>
        <v>16</v>
      </c>
      <c r="E126" s="8">
        <f>IFERROR(SUMIFS(SALIDASBODEGA[CANTIDAD],SALIDASBODEGA[DESCRIPCIÓN],INVENTARIOBODEGA[[#This Row],[DESCRIPCIÓN]],SALIDASBODEGA[LOTE],INVENTARIOBODEGA[[#This Row],[LOTE]]),"-")</f>
        <v>0</v>
      </c>
      <c r="F126" s="8">
        <f>INVENTARIOBODEGA[[#This Row],[ENTRADAS]]-INVENTARIOBODEGA[[#This Row],[SALIDAS ]]</f>
        <v>16</v>
      </c>
      <c r="G126" s="1"/>
      <c r="H126" s="9">
        <f>INVENTARIOBODEGA[[#This Row],[COSTO UNITARIO]]*INVENTARIOBODEGA[[#This Row],[STOCK ACTUAL]]</f>
        <v>0</v>
      </c>
    </row>
    <row r="127" spans="1:8" ht="16" x14ac:dyDescent="0.2">
      <c r="A127" s="2" t="s">
        <v>157</v>
      </c>
      <c r="B127" s="2" t="s">
        <v>18</v>
      </c>
      <c r="C127" s="1" t="s">
        <v>14</v>
      </c>
      <c r="D127" s="8">
        <f>IFERROR(SUMIFS(ENTRADASBODEGA[CANTIDAD],ENTRADASBODEGA[DESCRIPCIÓN],INVENTARIOBODEGA[[#This Row],[DESCRIPCIÓN]],ENTRADASBODEGA[LOTE],INVENTARIOBODEGA[[#This Row],[LOTE]]),"-")</f>
        <v>5</v>
      </c>
      <c r="E127" s="8">
        <f>IFERROR(SUMIFS(SALIDASBODEGA[CANTIDAD],SALIDASBODEGA[DESCRIPCIÓN],INVENTARIOBODEGA[[#This Row],[DESCRIPCIÓN]],SALIDASBODEGA[LOTE],INVENTARIOBODEGA[[#This Row],[LOTE]]),"-")</f>
        <v>3</v>
      </c>
      <c r="F127" s="8">
        <f>INVENTARIOBODEGA[[#This Row],[ENTRADAS]]-INVENTARIOBODEGA[[#This Row],[SALIDAS ]]</f>
        <v>2</v>
      </c>
      <c r="G127" s="1"/>
      <c r="H127" s="9">
        <f>INVENTARIOBODEGA[[#This Row],[COSTO UNITARIO]]*INVENTARIOBODEGA[[#This Row],[STOCK ACTUAL]]</f>
        <v>0</v>
      </c>
    </row>
    <row r="128" spans="1:8" ht="16" x14ac:dyDescent="0.2">
      <c r="A128" s="2" t="s">
        <v>256</v>
      </c>
      <c r="B128" s="2" t="s">
        <v>126</v>
      </c>
      <c r="C128" s="1" t="s">
        <v>14</v>
      </c>
      <c r="D128" s="8">
        <f>IFERROR(SUMIFS(ENTRADASBODEGA[CANTIDAD],ENTRADASBODEGA[DESCRIPCIÓN],INVENTARIOBODEGA[[#This Row],[DESCRIPCIÓN]],ENTRADASBODEGA[LOTE],INVENTARIOBODEGA[[#This Row],[LOTE]]),"-")</f>
        <v>3</v>
      </c>
      <c r="E128" s="8">
        <f>IFERROR(SUMIFS(SALIDASBODEGA[CANTIDAD],SALIDASBODEGA[DESCRIPCIÓN],INVENTARIOBODEGA[[#This Row],[DESCRIPCIÓN]],SALIDASBODEGA[LOTE],INVENTARIOBODEGA[[#This Row],[LOTE]]),"-")</f>
        <v>0</v>
      </c>
      <c r="F128" s="8">
        <f>INVENTARIOBODEGA[[#This Row],[ENTRADAS]]-INVENTARIOBODEGA[[#This Row],[SALIDAS ]]</f>
        <v>3</v>
      </c>
      <c r="G128" s="1"/>
      <c r="H128" s="9">
        <f>INVENTARIOBODEGA[[#This Row],[COSTO UNITARIO]]*INVENTARIOBODEGA[[#This Row],[STOCK ACTUAL]]</f>
        <v>0</v>
      </c>
    </row>
    <row r="129" spans="1:8" ht="16" x14ac:dyDescent="0.2">
      <c r="A129" s="2" t="s">
        <v>254</v>
      </c>
      <c r="B129" s="2" t="s">
        <v>124</v>
      </c>
      <c r="C129" s="1" t="s">
        <v>14</v>
      </c>
      <c r="D129" s="8">
        <f>IFERROR(SUMIFS(ENTRADASBODEGA[CANTIDAD],ENTRADASBODEGA[DESCRIPCIÓN],INVENTARIOBODEGA[[#This Row],[DESCRIPCIÓN]],ENTRADASBODEGA[LOTE],INVENTARIOBODEGA[[#This Row],[LOTE]]),"-")</f>
        <v>1</v>
      </c>
      <c r="E129" s="8">
        <f>IFERROR(SUMIFS(SALIDASBODEGA[CANTIDAD],SALIDASBODEGA[DESCRIPCIÓN],INVENTARIOBODEGA[[#This Row],[DESCRIPCIÓN]],SALIDASBODEGA[LOTE],INVENTARIOBODEGA[[#This Row],[LOTE]]),"-")</f>
        <v>0</v>
      </c>
      <c r="F129" s="8">
        <f>INVENTARIOBODEGA[[#This Row],[ENTRADAS]]-INVENTARIOBODEGA[[#This Row],[SALIDAS ]]</f>
        <v>1</v>
      </c>
      <c r="G129" s="1"/>
      <c r="H129" s="9">
        <f>INVENTARIOBODEGA[[#This Row],[COSTO UNITARIO]]*INVENTARIOBODEGA[[#This Row],[STOCK ACTUAL]]</f>
        <v>0</v>
      </c>
    </row>
    <row r="130" spans="1:8" ht="16" x14ac:dyDescent="0.2">
      <c r="A130" s="2" t="s">
        <v>247</v>
      </c>
      <c r="B130" s="2" t="s">
        <v>117</v>
      </c>
      <c r="C130" s="1" t="s">
        <v>14</v>
      </c>
      <c r="D130" s="8">
        <f>IFERROR(SUMIFS(ENTRADASBODEGA[CANTIDAD],ENTRADASBODEGA[DESCRIPCIÓN],INVENTARIOBODEGA[[#This Row],[DESCRIPCIÓN]],ENTRADASBODEGA[LOTE],INVENTARIOBODEGA[[#This Row],[LOTE]]),"-")</f>
        <v>3</v>
      </c>
      <c r="E130" s="8">
        <f>IFERROR(SUMIFS(SALIDASBODEGA[CANTIDAD],SALIDASBODEGA[DESCRIPCIÓN],INVENTARIOBODEGA[[#This Row],[DESCRIPCIÓN]],SALIDASBODEGA[LOTE],INVENTARIOBODEGA[[#This Row],[LOTE]]),"-")</f>
        <v>0</v>
      </c>
      <c r="F130" s="8">
        <f>INVENTARIOBODEGA[[#This Row],[ENTRADAS]]-INVENTARIOBODEGA[[#This Row],[SALIDAS ]]</f>
        <v>3</v>
      </c>
      <c r="G130" s="1"/>
      <c r="H130" s="9">
        <f>INVENTARIOBODEGA[[#This Row],[COSTO UNITARIO]]*INVENTARIOBODEGA[[#This Row],[STOCK ACTUAL]]</f>
        <v>0</v>
      </c>
    </row>
    <row r="131" spans="1:8" ht="16" x14ac:dyDescent="0.2">
      <c r="A131" s="2" t="s">
        <v>158</v>
      </c>
      <c r="B131" s="2" t="s">
        <v>12</v>
      </c>
      <c r="C131" s="1" t="s">
        <v>14</v>
      </c>
      <c r="D131" s="8">
        <f>IFERROR(SUMIFS(ENTRADASBODEGA[CANTIDAD],ENTRADASBODEGA[DESCRIPCIÓN],INVENTARIOBODEGA[[#This Row],[DESCRIPCIÓN]],ENTRADASBODEGA[LOTE],INVENTARIOBODEGA[[#This Row],[LOTE]]),"-")</f>
        <v>8</v>
      </c>
      <c r="E131" s="8">
        <f>IFERROR(SUMIFS(SALIDASBODEGA[CANTIDAD],SALIDASBODEGA[DESCRIPCIÓN],INVENTARIOBODEGA[[#This Row],[DESCRIPCIÓN]],SALIDASBODEGA[LOTE],INVENTARIOBODEGA[[#This Row],[LOTE]]),"-")</f>
        <v>3</v>
      </c>
      <c r="F131" s="8">
        <f>INVENTARIOBODEGA[[#This Row],[ENTRADAS]]-INVENTARIOBODEGA[[#This Row],[SALIDAS ]]</f>
        <v>5</v>
      </c>
      <c r="G131" s="1"/>
      <c r="H131" s="9">
        <f>INVENTARIOBODEGA[[#This Row],[COSTO UNITARIO]]*INVENTARIOBODEGA[[#This Row],[STOCK ACTUAL]]</f>
        <v>0</v>
      </c>
    </row>
    <row r="132" spans="1:8" ht="16" x14ac:dyDescent="0.2">
      <c r="A132" s="2" t="s">
        <v>581</v>
      </c>
      <c r="B132" s="2" t="s">
        <v>549</v>
      </c>
      <c r="C132" s="1" t="s">
        <v>469</v>
      </c>
      <c r="D132" s="8">
        <f>IFERROR(SUMIFS(ENTRADASBODEGA[CANTIDAD],ENTRADASBODEGA[DESCRIPCIÓN],INVENTARIOBODEGA[[#This Row],[DESCRIPCIÓN]],ENTRADASBODEGA[LOTE],INVENTARIOBODEGA[[#This Row],[LOTE]]),"-")</f>
        <v>10</v>
      </c>
      <c r="E132" s="8">
        <f>IFERROR(SUMIFS(SALIDASBODEGA[CANTIDAD],SALIDASBODEGA[DESCRIPCIÓN],INVENTARIOBODEGA[[#This Row],[DESCRIPCIÓN]],SALIDASBODEGA[LOTE],INVENTARIOBODEGA[[#This Row],[LOTE]]),"-")</f>
        <v>0</v>
      </c>
      <c r="F132" s="8">
        <f>INVENTARIOBODEGA[[#This Row],[ENTRADAS]]-INVENTARIOBODEGA[[#This Row],[SALIDAS ]]</f>
        <v>10</v>
      </c>
      <c r="G132" s="1"/>
      <c r="H132" s="9">
        <f>INVENTARIOBODEGA[[#This Row],[COSTO UNITARIO]]*INVENTARIOBODEGA[[#This Row],[STOCK ACTUAL]]</f>
        <v>0</v>
      </c>
    </row>
    <row r="133" spans="1:8" ht="16" x14ac:dyDescent="0.2">
      <c r="A133" s="2" t="s">
        <v>583</v>
      </c>
      <c r="B133" s="2" t="s">
        <v>551</v>
      </c>
      <c r="C133" s="1" t="s">
        <v>470</v>
      </c>
      <c r="D133" s="8">
        <f>IFERROR(SUMIFS(ENTRADASBODEGA[CANTIDAD],ENTRADASBODEGA[DESCRIPCIÓN],INVENTARIOBODEGA[[#This Row],[DESCRIPCIÓN]],ENTRADASBODEGA[LOTE],INVENTARIOBODEGA[[#This Row],[LOTE]]),"-")</f>
        <v>1000</v>
      </c>
      <c r="E133" s="8">
        <f>IFERROR(SUMIFS(SALIDASBODEGA[CANTIDAD],SALIDASBODEGA[DESCRIPCIÓN],INVENTARIOBODEGA[[#This Row],[DESCRIPCIÓN]],SALIDASBODEGA[LOTE],INVENTARIOBODEGA[[#This Row],[LOTE]]),"-")</f>
        <v>0</v>
      </c>
      <c r="F133" s="8">
        <f>INVENTARIOBODEGA[[#This Row],[ENTRADAS]]-INVENTARIOBODEGA[[#This Row],[SALIDAS ]]</f>
        <v>1000</v>
      </c>
      <c r="G133" s="1"/>
      <c r="H133" s="9">
        <f>INVENTARIOBODEGA[[#This Row],[COSTO UNITARIO]]*INVENTARIOBODEGA[[#This Row],[STOCK ACTUAL]]</f>
        <v>0</v>
      </c>
    </row>
    <row r="134" spans="1:8" ht="16" x14ac:dyDescent="0.2">
      <c r="A134" s="2" t="s">
        <v>582</v>
      </c>
      <c r="B134" s="2" t="s">
        <v>550</v>
      </c>
      <c r="C134" s="1" t="s">
        <v>470</v>
      </c>
      <c r="D134" s="8">
        <f>IFERROR(SUMIFS(ENTRADASBODEGA[CANTIDAD],ENTRADASBODEGA[DESCRIPCIÓN],INVENTARIOBODEGA[[#This Row],[DESCRIPCIÓN]],ENTRADASBODEGA[LOTE],INVENTARIOBODEGA[[#This Row],[LOTE]]),"-")</f>
        <v>15</v>
      </c>
      <c r="E134" s="8">
        <f>IFERROR(SUMIFS(SALIDASBODEGA[CANTIDAD],SALIDASBODEGA[DESCRIPCIÓN],INVENTARIOBODEGA[[#This Row],[DESCRIPCIÓN]],SALIDASBODEGA[LOTE],INVENTARIOBODEGA[[#This Row],[LOTE]]),"-")</f>
        <v>0</v>
      </c>
      <c r="F134" s="8">
        <f>INVENTARIOBODEGA[[#This Row],[ENTRADAS]]-INVENTARIOBODEGA[[#This Row],[SALIDAS ]]</f>
        <v>15</v>
      </c>
      <c r="G134" s="1"/>
      <c r="H134" s="9">
        <f>INVENTARIOBODEGA[[#This Row],[COSTO UNITARIO]]*INVENTARIOBODEGA[[#This Row],[STOCK ACTUAL]]</f>
        <v>0</v>
      </c>
    </row>
    <row r="135" spans="1:8" ht="16" x14ac:dyDescent="0.2">
      <c r="A135" s="2" t="s">
        <v>261</v>
      </c>
      <c r="B135" s="2" t="s">
        <v>130</v>
      </c>
      <c r="C135" s="1" t="s">
        <v>152</v>
      </c>
      <c r="D135" s="8">
        <f>IFERROR(SUMIFS(ENTRADASBODEGA[CANTIDAD],ENTRADASBODEGA[DESCRIPCIÓN],INVENTARIOBODEGA[[#This Row],[DESCRIPCIÓN]],ENTRADASBODEGA[LOTE],INVENTARIOBODEGA[[#This Row],[LOTE]]),"-")</f>
        <v>4</v>
      </c>
      <c r="E135" s="8">
        <f>IFERROR(SUMIFS(SALIDASBODEGA[CANTIDAD],SALIDASBODEGA[DESCRIPCIÓN],INVENTARIOBODEGA[[#This Row],[DESCRIPCIÓN]],SALIDASBODEGA[LOTE],INVENTARIOBODEGA[[#This Row],[LOTE]]),"-")</f>
        <v>0</v>
      </c>
      <c r="F135" s="8">
        <f>INVENTARIOBODEGA[[#This Row],[ENTRADAS]]-INVENTARIOBODEGA[[#This Row],[SALIDAS ]]</f>
        <v>4</v>
      </c>
      <c r="G135" s="1"/>
      <c r="H135" s="9">
        <f>INVENTARIOBODEGA[[#This Row],[COSTO UNITARIO]]*INVENTARIOBODEGA[[#This Row],[STOCK ACTUAL]]</f>
        <v>0</v>
      </c>
    </row>
    <row r="136" spans="1:8" ht="16" x14ac:dyDescent="0.2">
      <c r="A136" s="2" t="s">
        <v>497</v>
      </c>
      <c r="B136" s="2" t="s">
        <v>488</v>
      </c>
      <c r="C136" s="1" t="s">
        <v>465</v>
      </c>
      <c r="D136" s="8">
        <f>IFERROR(SUMIFS(ENTRADASBODEGA[CANTIDAD],ENTRADASBODEGA[DESCRIPCIÓN],INVENTARIOBODEGA[[#This Row],[DESCRIPCIÓN]],ENTRADASBODEGA[LOTE],INVENTARIOBODEGA[[#This Row],[LOTE]]),"-")</f>
        <v>10</v>
      </c>
      <c r="E136" s="8">
        <f>IFERROR(SUMIFS(SALIDASBODEGA[CANTIDAD],SALIDASBODEGA[DESCRIPCIÓN],INVENTARIOBODEGA[[#This Row],[DESCRIPCIÓN]],SALIDASBODEGA[LOTE],INVENTARIOBODEGA[[#This Row],[LOTE]]),"-")</f>
        <v>0</v>
      </c>
      <c r="F136" s="8">
        <f>INVENTARIOBODEGA[[#This Row],[ENTRADAS]]-INVENTARIOBODEGA[[#This Row],[SALIDAS ]]</f>
        <v>10</v>
      </c>
      <c r="G136" s="1"/>
      <c r="H136" s="9">
        <f>INVENTARIOBODEGA[[#This Row],[COSTO UNITARIO]]*INVENTARIOBODEGA[[#This Row],[STOCK ACTUAL]]</f>
        <v>0</v>
      </c>
    </row>
    <row r="137" spans="1:8" ht="16" x14ac:dyDescent="0.2">
      <c r="A137" s="2" t="s">
        <v>495</v>
      </c>
      <c r="B137" s="2" t="s">
        <v>486</v>
      </c>
      <c r="C137" s="1" t="s">
        <v>465</v>
      </c>
      <c r="D137" s="8">
        <f>IFERROR(SUMIFS(ENTRADASBODEGA[CANTIDAD],ENTRADASBODEGA[DESCRIPCIÓN],INVENTARIOBODEGA[[#This Row],[DESCRIPCIÓN]],ENTRADASBODEGA[LOTE],INVENTARIOBODEGA[[#This Row],[LOTE]]),"-")</f>
        <v>10</v>
      </c>
      <c r="E137" s="8">
        <f>IFERROR(SUMIFS(SALIDASBODEGA[CANTIDAD],SALIDASBODEGA[DESCRIPCIÓN],INVENTARIOBODEGA[[#This Row],[DESCRIPCIÓN]],SALIDASBODEGA[LOTE],INVENTARIOBODEGA[[#This Row],[LOTE]]),"-")</f>
        <v>10</v>
      </c>
      <c r="F137" s="8">
        <f>INVENTARIOBODEGA[[#This Row],[ENTRADAS]]-INVENTARIOBODEGA[[#This Row],[SALIDAS ]]</f>
        <v>0</v>
      </c>
      <c r="G137" s="1"/>
      <c r="H137" s="9">
        <f>INVENTARIOBODEGA[[#This Row],[COSTO UNITARIO]]*INVENTARIOBODEGA[[#This Row],[STOCK ACTUAL]]</f>
        <v>0</v>
      </c>
    </row>
    <row r="138" spans="1:8" ht="16" x14ac:dyDescent="0.2">
      <c r="A138" s="2" t="s">
        <v>494</v>
      </c>
      <c r="B138" s="2" t="s">
        <v>485</v>
      </c>
      <c r="C138" s="1" t="s">
        <v>465</v>
      </c>
      <c r="D138" s="8">
        <f>IFERROR(SUMIFS(ENTRADASBODEGA[CANTIDAD],ENTRADASBODEGA[DESCRIPCIÓN],INVENTARIOBODEGA[[#This Row],[DESCRIPCIÓN]],ENTRADASBODEGA[LOTE],INVENTARIOBODEGA[[#This Row],[LOTE]]),"-")</f>
        <v>5</v>
      </c>
      <c r="E138" s="8">
        <f>IFERROR(SUMIFS(SALIDASBODEGA[CANTIDAD],SALIDASBODEGA[DESCRIPCIÓN],INVENTARIOBODEGA[[#This Row],[DESCRIPCIÓN]],SALIDASBODEGA[LOTE],INVENTARIOBODEGA[[#This Row],[LOTE]]),"-")</f>
        <v>0</v>
      </c>
      <c r="F138" s="8">
        <f>INVENTARIOBODEGA[[#This Row],[ENTRADAS]]-INVENTARIOBODEGA[[#This Row],[SALIDAS ]]</f>
        <v>5</v>
      </c>
      <c r="G138" s="1"/>
      <c r="H138" s="9">
        <f>INVENTARIOBODEGA[[#This Row],[COSTO UNITARIO]]*INVENTARIOBODEGA[[#This Row],[STOCK ACTUAL]]</f>
        <v>0</v>
      </c>
    </row>
    <row r="139" spans="1:8" ht="16" x14ac:dyDescent="0.2">
      <c r="A139" s="2" t="s">
        <v>492</v>
      </c>
      <c r="B139" s="2" t="s">
        <v>483</v>
      </c>
      <c r="C139" s="1" t="s">
        <v>465</v>
      </c>
      <c r="D139" s="8">
        <f>IFERROR(SUMIFS(ENTRADASBODEGA[CANTIDAD],ENTRADASBODEGA[DESCRIPCIÓN],INVENTARIOBODEGA[[#This Row],[DESCRIPCIÓN]],ENTRADASBODEGA[LOTE],INVENTARIOBODEGA[[#This Row],[LOTE]]),"-")</f>
        <v>5</v>
      </c>
      <c r="E139" s="8">
        <f>IFERROR(SUMIFS(SALIDASBODEGA[CANTIDAD],SALIDASBODEGA[DESCRIPCIÓN],INVENTARIOBODEGA[[#This Row],[DESCRIPCIÓN]],SALIDASBODEGA[LOTE],INVENTARIOBODEGA[[#This Row],[LOTE]]),"-")</f>
        <v>0</v>
      </c>
      <c r="F139" s="8">
        <f>INVENTARIOBODEGA[[#This Row],[ENTRADAS]]-INVENTARIOBODEGA[[#This Row],[SALIDAS ]]</f>
        <v>5</v>
      </c>
      <c r="G139" s="1"/>
      <c r="H139" s="9">
        <f>INVENTARIOBODEGA[[#This Row],[COSTO UNITARIO]]*INVENTARIOBODEGA[[#This Row],[STOCK ACTUAL]]</f>
        <v>0</v>
      </c>
    </row>
    <row r="140" spans="1:8" ht="16" x14ac:dyDescent="0.2">
      <c r="A140" s="2" t="s">
        <v>493</v>
      </c>
      <c r="B140" s="2" t="s">
        <v>484</v>
      </c>
      <c r="C140" s="1" t="s">
        <v>465</v>
      </c>
      <c r="D140" s="8">
        <f>IFERROR(SUMIFS(ENTRADASBODEGA[CANTIDAD],ENTRADASBODEGA[DESCRIPCIÓN],INVENTARIOBODEGA[[#This Row],[DESCRIPCIÓN]],ENTRADASBODEGA[LOTE],INVENTARIOBODEGA[[#This Row],[LOTE]]),"-")</f>
        <v>5</v>
      </c>
      <c r="E140" s="8">
        <f>IFERROR(SUMIFS(SALIDASBODEGA[CANTIDAD],SALIDASBODEGA[DESCRIPCIÓN],INVENTARIOBODEGA[[#This Row],[DESCRIPCIÓN]],SALIDASBODEGA[LOTE],INVENTARIOBODEGA[[#This Row],[LOTE]]),"-")</f>
        <v>0</v>
      </c>
      <c r="F140" s="8">
        <f>INVENTARIOBODEGA[[#This Row],[ENTRADAS]]-INVENTARIOBODEGA[[#This Row],[SALIDAS ]]</f>
        <v>5</v>
      </c>
      <c r="G140" s="1"/>
      <c r="H140" s="9">
        <f>INVENTARIOBODEGA[[#This Row],[COSTO UNITARIO]]*INVENTARIOBODEGA[[#This Row],[STOCK ACTUAL]]</f>
        <v>0</v>
      </c>
    </row>
    <row r="141" spans="1:8" ht="16" x14ac:dyDescent="0.2">
      <c r="A141" s="2" t="s">
        <v>496</v>
      </c>
      <c r="B141" s="2" t="s">
        <v>487</v>
      </c>
      <c r="C141" s="1" t="s">
        <v>465</v>
      </c>
      <c r="D141" s="8">
        <f>IFERROR(SUMIFS(ENTRADASBODEGA[CANTIDAD],ENTRADASBODEGA[DESCRIPCIÓN],INVENTARIOBODEGA[[#This Row],[DESCRIPCIÓN]],ENTRADASBODEGA[LOTE],INVENTARIOBODEGA[[#This Row],[LOTE]]),"-")</f>
        <v>30</v>
      </c>
      <c r="E141" s="8">
        <f>IFERROR(SUMIFS(SALIDASBODEGA[CANTIDAD],SALIDASBODEGA[DESCRIPCIÓN],INVENTARIOBODEGA[[#This Row],[DESCRIPCIÓN]],SALIDASBODEGA[LOTE],INVENTARIOBODEGA[[#This Row],[LOTE]]),"-")</f>
        <v>0</v>
      </c>
      <c r="F141" s="8">
        <f>INVENTARIOBODEGA[[#This Row],[ENTRADAS]]-INVENTARIOBODEGA[[#This Row],[SALIDAS ]]</f>
        <v>30</v>
      </c>
      <c r="G141" s="1"/>
      <c r="H141" s="9">
        <f>INVENTARIOBODEGA[[#This Row],[COSTO UNITARIO]]*INVENTARIOBODEGA[[#This Row],[STOCK ACTUAL]]</f>
        <v>0</v>
      </c>
    </row>
    <row r="142" spans="1:8" ht="16" x14ac:dyDescent="0.2">
      <c r="A142" s="2" t="s">
        <v>190</v>
      </c>
      <c r="B142" s="2" t="s">
        <v>45</v>
      </c>
      <c r="C142" s="1" t="s">
        <v>82</v>
      </c>
      <c r="D142" s="8">
        <f>IFERROR(SUMIFS(ENTRADASBODEGA[CANTIDAD],ENTRADASBODEGA[DESCRIPCIÓN],INVENTARIOBODEGA[[#This Row],[DESCRIPCIÓN]],ENTRADASBODEGA[LOTE],INVENTARIOBODEGA[[#This Row],[LOTE]]),"-")</f>
        <v>3</v>
      </c>
      <c r="E142" s="8">
        <f>IFERROR(SUMIFS(SALIDASBODEGA[CANTIDAD],SALIDASBODEGA[DESCRIPCIÓN],INVENTARIOBODEGA[[#This Row],[DESCRIPCIÓN]],SALIDASBODEGA[LOTE],INVENTARIOBODEGA[[#This Row],[LOTE]]),"-")</f>
        <v>1</v>
      </c>
      <c r="F142" s="8">
        <f>INVENTARIOBODEGA[[#This Row],[ENTRADAS]]-INVENTARIOBODEGA[[#This Row],[SALIDAS ]]</f>
        <v>2</v>
      </c>
      <c r="G142" s="1"/>
      <c r="H142" s="9">
        <f>INVENTARIOBODEGA[[#This Row],[COSTO UNITARIO]]*INVENTARIOBODEGA[[#This Row],[STOCK ACTUAL]]</f>
        <v>0</v>
      </c>
    </row>
    <row r="143" spans="1:8" ht="16" x14ac:dyDescent="0.2">
      <c r="A143" s="2" t="s">
        <v>584</v>
      </c>
      <c r="B143" s="2" t="s">
        <v>552</v>
      </c>
      <c r="C143" s="1" t="s">
        <v>471</v>
      </c>
      <c r="D143" s="8">
        <f>IFERROR(SUMIFS(ENTRADASBODEGA[CANTIDAD],ENTRADASBODEGA[DESCRIPCIÓN],INVENTARIOBODEGA[[#This Row],[DESCRIPCIÓN]],ENTRADASBODEGA[LOTE],INVENTARIOBODEGA[[#This Row],[LOTE]]),"-")</f>
        <v>6</v>
      </c>
      <c r="E143" s="8">
        <f>IFERROR(SUMIFS(SALIDASBODEGA[CANTIDAD],SALIDASBODEGA[DESCRIPCIÓN],INVENTARIOBODEGA[[#This Row],[DESCRIPCIÓN]],SALIDASBODEGA[LOTE],INVENTARIOBODEGA[[#This Row],[LOTE]]),"-")</f>
        <v>0</v>
      </c>
      <c r="F143" s="8">
        <f>INVENTARIOBODEGA[[#This Row],[ENTRADAS]]-INVENTARIOBODEGA[[#This Row],[SALIDAS ]]</f>
        <v>6</v>
      </c>
      <c r="G143" s="1"/>
      <c r="H143" s="9">
        <f>INVENTARIOBODEGA[[#This Row],[COSTO UNITARIO]]*INVENTARIOBODEGA[[#This Row],[STOCK ACTUAL]]</f>
        <v>0</v>
      </c>
    </row>
    <row r="144" spans="1:8" ht="16" x14ac:dyDescent="0.2">
      <c r="A144" s="2" t="s">
        <v>586</v>
      </c>
      <c r="B144" s="2" t="s">
        <v>554</v>
      </c>
      <c r="C144" s="1" t="s">
        <v>471</v>
      </c>
      <c r="D144" s="8">
        <f>IFERROR(SUMIFS(ENTRADASBODEGA[CANTIDAD],ENTRADASBODEGA[DESCRIPCIÓN],INVENTARIOBODEGA[[#This Row],[DESCRIPCIÓN]],ENTRADASBODEGA[LOTE],INVENTARIOBODEGA[[#This Row],[LOTE]]),"-")</f>
        <v>8</v>
      </c>
      <c r="E144" s="8">
        <f>IFERROR(SUMIFS(SALIDASBODEGA[CANTIDAD],SALIDASBODEGA[DESCRIPCIÓN],INVENTARIOBODEGA[[#This Row],[DESCRIPCIÓN]],SALIDASBODEGA[LOTE],INVENTARIOBODEGA[[#This Row],[LOTE]]),"-")</f>
        <v>0</v>
      </c>
      <c r="F144" s="8">
        <f>INVENTARIOBODEGA[[#This Row],[ENTRADAS]]-INVENTARIOBODEGA[[#This Row],[SALIDAS ]]</f>
        <v>8</v>
      </c>
      <c r="G144" s="1"/>
      <c r="H144" s="9">
        <f>INVENTARIOBODEGA[[#This Row],[COSTO UNITARIO]]*INVENTARIOBODEGA[[#This Row],[STOCK ACTUAL]]</f>
        <v>0</v>
      </c>
    </row>
    <row r="145" spans="1:8" ht="16" x14ac:dyDescent="0.2">
      <c r="A145" s="2" t="s">
        <v>585</v>
      </c>
      <c r="B145" s="2" t="s">
        <v>553</v>
      </c>
      <c r="C145" s="1" t="s">
        <v>471</v>
      </c>
      <c r="D145" s="8">
        <f>IFERROR(SUMIFS(ENTRADASBODEGA[CANTIDAD],ENTRADASBODEGA[DESCRIPCIÓN],INVENTARIOBODEGA[[#This Row],[DESCRIPCIÓN]],ENTRADASBODEGA[LOTE],INVENTARIOBODEGA[[#This Row],[LOTE]]),"-")</f>
        <v>2</v>
      </c>
      <c r="E145" s="8">
        <f>IFERROR(SUMIFS(SALIDASBODEGA[CANTIDAD],SALIDASBODEGA[DESCRIPCIÓN],INVENTARIOBODEGA[[#This Row],[DESCRIPCIÓN]],SALIDASBODEGA[LOTE],INVENTARIOBODEGA[[#This Row],[LOTE]]),"-")</f>
        <v>0</v>
      </c>
      <c r="F145" s="8">
        <f>INVENTARIOBODEGA[[#This Row],[ENTRADAS]]-INVENTARIOBODEGA[[#This Row],[SALIDAS ]]</f>
        <v>2</v>
      </c>
      <c r="G145" s="1"/>
      <c r="H145" s="9">
        <f>INVENTARIOBODEGA[[#This Row],[COSTO UNITARIO]]*INVENTARIOBODEGA[[#This Row],[STOCK ACTUAL]]</f>
        <v>0</v>
      </c>
    </row>
    <row r="146" spans="1:8" ht="16" x14ac:dyDescent="0.2">
      <c r="A146" s="2" t="s">
        <v>209</v>
      </c>
      <c r="B146" s="2" t="s">
        <v>67</v>
      </c>
      <c r="C146" s="1" t="s">
        <v>86</v>
      </c>
      <c r="D146" s="8">
        <f>IFERROR(SUMIFS(ENTRADASBODEGA[CANTIDAD],ENTRADASBODEGA[DESCRIPCIÓN],INVENTARIOBODEGA[[#This Row],[DESCRIPCIÓN]],ENTRADASBODEGA[LOTE],INVENTARIOBODEGA[[#This Row],[LOTE]]),"-")</f>
        <v>4</v>
      </c>
      <c r="E146" s="8">
        <f>IFERROR(SUMIFS(SALIDASBODEGA[CANTIDAD],SALIDASBODEGA[DESCRIPCIÓN],INVENTARIOBODEGA[[#This Row],[DESCRIPCIÓN]],SALIDASBODEGA[LOTE],INVENTARIOBODEGA[[#This Row],[LOTE]]),"-")</f>
        <v>0</v>
      </c>
      <c r="F146" s="8">
        <f>INVENTARIOBODEGA[[#This Row],[ENTRADAS]]-INVENTARIOBODEGA[[#This Row],[SALIDAS ]]</f>
        <v>4</v>
      </c>
      <c r="G146" s="1"/>
      <c r="H146" s="9">
        <f>INVENTARIOBODEGA[[#This Row],[COSTO UNITARIO]]*INVENTARIOBODEGA[[#This Row],[STOCK ACTUAL]]</f>
        <v>0</v>
      </c>
    </row>
    <row r="147" spans="1:8" ht="16" x14ac:dyDescent="0.2">
      <c r="A147" s="2" t="s">
        <v>295</v>
      </c>
      <c r="B147" s="2" t="s">
        <v>293</v>
      </c>
      <c r="C147" s="1" t="s">
        <v>296</v>
      </c>
      <c r="D147" s="8">
        <f>IFERROR(SUMIFS(ENTRADASBODEGA[CANTIDAD],ENTRADASBODEGA[DESCRIPCIÓN],INVENTARIOBODEGA[[#This Row],[DESCRIPCIÓN]],ENTRADASBODEGA[LOTE],INVENTARIOBODEGA[[#This Row],[LOTE]]),"-")</f>
        <v>1</v>
      </c>
      <c r="E147" s="8">
        <f>IFERROR(SUMIFS(SALIDASBODEGA[CANTIDAD],SALIDASBODEGA[DESCRIPCIÓN],INVENTARIOBODEGA[[#This Row],[DESCRIPCIÓN]],SALIDASBODEGA[LOTE],INVENTARIOBODEGA[[#This Row],[LOTE]]),"-")</f>
        <v>0</v>
      </c>
      <c r="F147" s="8">
        <f>INVENTARIOBODEGA[[#This Row],[ENTRADAS]]-INVENTARIOBODEGA[[#This Row],[SALIDAS ]]</f>
        <v>1</v>
      </c>
      <c r="G147" s="1"/>
      <c r="H147" s="9">
        <f>INVENTARIOBODEGA[[#This Row],[COSTO UNITARIO]]*INVENTARIOBODEGA[[#This Row],[STOCK ACTUAL]]</f>
        <v>0</v>
      </c>
    </row>
    <row r="148" spans="1:8" ht="16" x14ac:dyDescent="0.2">
      <c r="A148" s="2" t="s">
        <v>181</v>
      </c>
      <c r="B148" s="2" t="s">
        <v>37</v>
      </c>
      <c r="C148" s="1" t="s">
        <v>79</v>
      </c>
      <c r="D148" s="8">
        <f>IFERROR(SUMIFS(ENTRADASBODEGA[CANTIDAD],ENTRADASBODEGA[DESCRIPCIÓN],INVENTARIOBODEGA[[#This Row],[DESCRIPCIÓN]],ENTRADASBODEGA[LOTE],INVENTARIOBODEGA[[#This Row],[LOTE]]),"-")</f>
        <v>1</v>
      </c>
      <c r="E148" s="8">
        <f>IFERROR(SUMIFS(SALIDASBODEGA[CANTIDAD],SALIDASBODEGA[DESCRIPCIÓN],INVENTARIOBODEGA[[#This Row],[DESCRIPCIÓN]],SALIDASBODEGA[LOTE],INVENTARIOBODEGA[[#This Row],[LOTE]]),"-")</f>
        <v>0</v>
      </c>
      <c r="F148" s="8">
        <f>INVENTARIOBODEGA[[#This Row],[ENTRADAS]]-INVENTARIOBODEGA[[#This Row],[SALIDAS ]]</f>
        <v>1</v>
      </c>
      <c r="G148" s="1"/>
      <c r="H148" s="9">
        <f>INVENTARIOBODEGA[[#This Row],[COSTO UNITARIO]]*INVENTARIOBODEGA[[#This Row],[STOCK ACTUAL]]</f>
        <v>0</v>
      </c>
    </row>
    <row r="149" spans="1:8" ht="16" x14ac:dyDescent="0.2">
      <c r="A149" s="2" t="s">
        <v>170</v>
      </c>
      <c r="B149" s="2" t="s">
        <v>33</v>
      </c>
      <c r="C149" s="1" t="s">
        <v>79</v>
      </c>
      <c r="D149" s="8">
        <f>IFERROR(SUMIFS(ENTRADASBODEGA[CANTIDAD],ENTRADASBODEGA[DESCRIPCIÓN],INVENTARIOBODEGA[[#This Row],[DESCRIPCIÓN]],ENTRADASBODEGA[LOTE],INVENTARIOBODEGA[[#This Row],[LOTE]]),"-")</f>
        <v>15</v>
      </c>
      <c r="E149" s="8">
        <f>IFERROR(SUMIFS(SALIDASBODEGA[CANTIDAD],SALIDASBODEGA[DESCRIPCIÓN],INVENTARIOBODEGA[[#This Row],[DESCRIPCIÓN]],SALIDASBODEGA[LOTE],INVENTARIOBODEGA[[#This Row],[LOTE]]),"-")</f>
        <v>14</v>
      </c>
      <c r="F149" s="8">
        <f>INVENTARIOBODEGA[[#This Row],[ENTRADAS]]-INVENTARIOBODEGA[[#This Row],[SALIDAS ]]</f>
        <v>1</v>
      </c>
      <c r="G149" s="1"/>
      <c r="H149" s="9">
        <f>INVENTARIOBODEGA[[#This Row],[COSTO UNITARIO]]*INVENTARIOBODEGA[[#This Row],[STOCK ACTUAL]]</f>
        <v>0</v>
      </c>
    </row>
    <row r="150" spans="1:8" ht="16" x14ac:dyDescent="0.2">
      <c r="A150" s="2" t="s">
        <v>164</v>
      </c>
      <c r="B150" s="2" t="s">
        <v>22</v>
      </c>
      <c r="C150" s="1" t="s">
        <v>79</v>
      </c>
      <c r="D150" s="8">
        <f>IFERROR(SUMIFS(ENTRADASBODEGA[CANTIDAD],ENTRADASBODEGA[DESCRIPCIÓN],INVENTARIOBODEGA[[#This Row],[DESCRIPCIÓN]],ENTRADASBODEGA[LOTE],INVENTARIOBODEGA[[#This Row],[LOTE]]),"-")</f>
        <v>23</v>
      </c>
      <c r="E150" s="8">
        <f>IFERROR(SUMIFS(SALIDASBODEGA[CANTIDAD],SALIDASBODEGA[DESCRIPCIÓN],INVENTARIOBODEGA[[#This Row],[DESCRIPCIÓN]],SALIDASBODEGA[LOTE],INVENTARIOBODEGA[[#This Row],[LOTE]]),"-")</f>
        <v>0</v>
      </c>
      <c r="F150" s="8">
        <f>INVENTARIOBODEGA[[#This Row],[ENTRADAS]]-INVENTARIOBODEGA[[#This Row],[SALIDAS ]]</f>
        <v>23</v>
      </c>
      <c r="G150" s="1"/>
      <c r="H150" s="9">
        <f>INVENTARIOBODEGA[[#This Row],[COSTO UNITARIO]]*INVENTARIOBODEGA[[#This Row],[STOCK ACTUAL]]</f>
        <v>0</v>
      </c>
    </row>
    <row r="151" spans="1:8" ht="16" x14ac:dyDescent="0.2">
      <c r="A151" s="2" t="s">
        <v>174</v>
      </c>
      <c r="B151" s="2" t="s">
        <v>31</v>
      </c>
      <c r="C151" s="1" t="s">
        <v>79</v>
      </c>
      <c r="D151" s="8">
        <f>IFERROR(SUMIFS(ENTRADASBODEGA[CANTIDAD],ENTRADASBODEGA[DESCRIPCIÓN],INVENTARIOBODEGA[[#This Row],[DESCRIPCIÓN]],ENTRADASBODEGA[LOTE],INVENTARIOBODEGA[[#This Row],[LOTE]]),"-")</f>
        <v>2</v>
      </c>
      <c r="E151" s="8">
        <f>IFERROR(SUMIFS(SALIDASBODEGA[CANTIDAD],SALIDASBODEGA[DESCRIPCIÓN],INVENTARIOBODEGA[[#This Row],[DESCRIPCIÓN]],SALIDASBODEGA[LOTE],INVENTARIOBODEGA[[#This Row],[LOTE]]),"-")</f>
        <v>0</v>
      </c>
      <c r="F151" s="8">
        <f>INVENTARIOBODEGA[[#This Row],[ENTRADAS]]-INVENTARIOBODEGA[[#This Row],[SALIDAS ]]</f>
        <v>2</v>
      </c>
      <c r="G151" s="1"/>
      <c r="H151" s="9">
        <f>INVENTARIOBODEGA[[#This Row],[COSTO UNITARIO]]*INVENTARIOBODEGA[[#This Row],[STOCK ACTUAL]]</f>
        <v>0</v>
      </c>
    </row>
    <row r="152" spans="1:8" ht="16" x14ac:dyDescent="0.2">
      <c r="A152" s="2" t="s">
        <v>162</v>
      </c>
      <c r="B152" s="2" t="s">
        <v>20</v>
      </c>
      <c r="C152" s="1" t="s">
        <v>79</v>
      </c>
      <c r="D152" s="8">
        <f>IFERROR(SUMIFS(ENTRADASBODEGA[CANTIDAD],ENTRADASBODEGA[DESCRIPCIÓN],INVENTARIOBODEGA[[#This Row],[DESCRIPCIÓN]],ENTRADASBODEGA[LOTE],INVENTARIOBODEGA[[#This Row],[LOTE]]),"-")</f>
        <v>23</v>
      </c>
      <c r="E152" s="8">
        <f>IFERROR(SUMIFS(SALIDASBODEGA[CANTIDAD],SALIDASBODEGA[DESCRIPCIÓN],INVENTARIOBODEGA[[#This Row],[DESCRIPCIÓN]],SALIDASBODEGA[LOTE],INVENTARIOBODEGA[[#This Row],[LOTE]]),"-")</f>
        <v>12</v>
      </c>
      <c r="F152" s="8">
        <f>INVENTARIOBODEGA[[#This Row],[ENTRADAS]]-INVENTARIOBODEGA[[#This Row],[SALIDAS ]]</f>
        <v>11</v>
      </c>
      <c r="G152" s="1"/>
      <c r="H152" s="9">
        <f>INVENTARIOBODEGA[[#This Row],[COSTO UNITARIO]]*INVENTARIOBODEGA[[#This Row],[STOCK ACTUAL]]</f>
        <v>0</v>
      </c>
    </row>
    <row r="153" spans="1:8" ht="16" x14ac:dyDescent="0.2">
      <c r="A153" s="2" t="s">
        <v>169</v>
      </c>
      <c r="B153" s="2" t="s">
        <v>27</v>
      </c>
      <c r="C153" s="1" t="s">
        <v>79</v>
      </c>
      <c r="D153" s="8">
        <f>IFERROR(SUMIFS(ENTRADASBODEGA[CANTIDAD],ENTRADASBODEGA[DESCRIPCIÓN],INVENTARIOBODEGA[[#This Row],[DESCRIPCIÓN]],ENTRADASBODEGA[LOTE],INVENTARIOBODEGA[[#This Row],[LOTE]]),"-")</f>
        <v>6</v>
      </c>
      <c r="E153" s="8">
        <f>IFERROR(SUMIFS(SALIDASBODEGA[CANTIDAD],SALIDASBODEGA[DESCRIPCIÓN],INVENTARIOBODEGA[[#This Row],[DESCRIPCIÓN]],SALIDASBODEGA[LOTE],INVENTARIOBODEGA[[#This Row],[LOTE]]),"-")</f>
        <v>6</v>
      </c>
      <c r="F153" s="8">
        <f>INVENTARIOBODEGA[[#This Row],[ENTRADAS]]-INVENTARIOBODEGA[[#This Row],[SALIDAS ]]</f>
        <v>0</v>
      </c>
      <c r="G153" s="1"/>
      <c r="H153" s="9">
        <f>INVENTARIOBODEGA[[#This Row],[COSTO UNITARIO]]*INVENTARIOBODEGA[[#This Row],[STOCK ACTUAL]]</f>
        <v>0</v>
      </c>
    </row>
    <row r="154" spans="1:8" ht="16" x14ac:dyDescent="0.2">
      <c r="A154" s="2" t="s">
        <v>290</v>
      </c>
      <c r="B154" s="2" t="s">
        <v>281</v>
      </c>
      <c r="C154" s="1" t="s">
        <v>79</v>
      </c>
      <c r="D154" s="8">
        <f>IFERROR(SUMIFS(ENTRADASBODEGA[CANTIDAD],ENTRADASBODEGA[DESCRIPCIÓN],INVENTARIOBODEGA[[#This Row],[DESCRIPCIÓN]],ENTRADASBODEGA[LOTE],INVENTARIOBODEGA[[#This Row],[LOTE]]),"-")</f>
        <v>14</v>
      </c>
      <c r="E154" s="8">
        <f>IFERROR(SUMIFS(SALIDASBODEGA[CANTIDAD],SALIDASBODEGA[DESCRIPCIÓN],INVENTARIOBODEGA[[#This Row],[DESCRIPCIÓN]],SALIDASBODEGA[LOTE],INVENTARIOBODEGA[[#This Row],[LOTE]]),"-")</f>
        <v>0</v>
      </c>
      <c r="F154" s="8">
        <f>INVENTARIOBODEGA[[#This Row],[ENTRADAS]]-INVENTARIOBODEGA[[#This Row],[SALIDAS ]]</f>
        <v>14</v>
      </c>
      <c r="G154" s="1"/>
      <c r="H154" s="9">
        <f>INVENTARIOBODEGA[[#This Row],[COSTO UNITARIO]]*INVENTARIOBODEGA[[#This Row],[STOCK ACTUAL]]</f>
        <v>0</v>
      </c>
    </row>
    <row r="155" spans="1:8" ht="16" x14ac:dyDescent="0.2">
      <c r="A155" s="2" t="s">
        <v>267</v>
      </c>
      <c r="B155" s="2" t="s">
        <v>136</v>
      </c>
      <c r="C155" s="1" t="s">
        <v>79</v>
      </c>
      <c r="D155" s="8">
        <f>IFERROR(SUMIFS(ENTRADASBODEGA[CANTIDAD],ENTRADASBODEGA[DESCRIPCIÓN],INVENTARIOBODEGA[[#This Row],[DESCRIPCIÓN]],ENTRADASBODEGA[LOTE],INVENTARIOBODEGA[[#This Row],[LOTE]]),"-")</f>
        <v>1</v>
      </c>
      <c r="E155" s="8">
        <f>IFERROR(SUMIFS(SALIDASBODEGA[CANTIDAD],SALIDASBODEGA[DESCRIPCIÓN],INVENTARIOBODEGA[[#This Row],[DESCRIPCIÓN]],SALIDASBODEGA[LOTE],INVENTARIOBODEGA[[#This Row],[LOTE]]),"-")</f>
        <v>0</v>
      </c>
      <c r="F155" s="8">
        <f>INVENTARIOBODEGA[[#This Row],[ENTRADAS]]-INVENTARIOBODEGA[[#This Row],[SALIDAS ]]</f>
        <v>1</v>
      </c>
      <c r="G155" s="1"/>
      <c r="H155" s="9">
        <f>INVENTARIOBODEGA[[#This Row],[COSTO UNITARIO]]*INVENTARIOBODEGA[[#This Row],[STOCK ACTUAL]]</f>
        <v>0</v>
      </c>
    </row>
    <row r="156" spans="1:8" ht="16" x14ac:dyDescent="0.2">
      <c r="A156" s="2" t="s">
        <v>172</v>
      </c>
      <c r="B156" s="2" t="s">
        <v>29</v>
      </c>
      <c r="C156" s="1" t="s">
        <v>79</v>
      </c>
      <c r="D156" s="8">
        <f>IFERROR(SUMIFS(ENTRADASBODEGA[CANTIDAD],ENTRADASBODEGA[DESCRIPCIÓN],INVENTARIOBODEGA[[#This Row],[DESCRIPCIÓN]],ENTRADASBODEGA[LOTE],INVENTARIOBODEGA[[#This Row],[LOTE]]),"-")</f>
        <v>3</v>
      </c>
      <c r="E156" s="8">
        <f>IFERROR(SUMIFS(SALIDASBODEGA[CANTIDAD],SALIDASBODEGA[DESCRIPCIÓN],INVENTARIOBODEGA[[#This Row],[DESCRIPCIÓN]],SALIDASBODEGA[LOTE],INVENTARIOBODEGA[[#This Row],[LOTE]]),"-")</f>
        <v>0</v>
      </c>
      <c r="F156" s="8">
        <f>INVENTARIOBODEGA[[#This Row],[ENTRADAS]]-INVENTARIOBODEGA[[#This Row],[SALIDAS ]]</f>
        <v>3</v>
      </c>
      <c r="G156" s="1"/>
      <c r="H156" s="9">
        <f>INVENTARIOBODEGA[[#This Row],[COSTO UNITARIO]]*INVENTARIOBODEGA[[#This Row],[STOCK ACTUAL]]</f>
        <v>0</v>
      </c>
    </row>
    <row r="157" spans="1:8" ht="16" x14ac:dyDescent="0.2">
      <c r="A157" s="2" t="s">
        <v>171</v>
      </c>
      <c r="B157" s="2" t="s">
        <v>28</v>
      </c>
      <c r="C157" s="1" t="s">
        <v>79</v>
      </c>
      <c r="D157" s="8">
        <f>IFERROR(SUMIFS(ENTRADASBODEGA[CANTIDAD],ENTRADASBODEGA[DESCRIPCIÓN],INVENTARIOBODEGA[[#This Row],[DESCRIPCIÓN]],ENTRADASBODEGA[LOTE],INVENTARIOBODEGA[[#This Row],[LOTE]]),"-")</f>
        <v>1</v>
      </c>
      <c r="E157" s="8">
        <f>IFERROR(SUMIFS(SALIDASBODEGA[CANTIDAD],SALIDASBODEGA[DESCRIPCIÓN],INVENTARIOBODEGA[[#This Row],[DESCRIPCIÓN]],SALIDASBODEGA[LOTE],INVENTARIOBODEGA[[#This Row],[LOTE]]),"-")</f>
        <v>0</v>
      </c>
      <c r="F157" s="8">
        <f>INVENTARIOBODEGA[[#This Row],[ENTRADAS]]-INVENTARIOBODEGA[[#This Row],[SALIDAS ]]</f>
        <v>1</v>
      </c>
      <c r="G157" s="1"/>
      <c r="H157" s="9">
        <f>INVENTARIOBODEGA[[#This Row],[COSTO UNITARIO]]*INVENTARIOBODEGA[[#This Row],[STOCK ACTUAL]]</f>
        <v>0</v>
      </c>
    </row>
    <row r="158" spans="1:8" ht="16" x14ac:dyDescent="0.2">
      <c r="A158" s="2" t="s">
        <v>183</v>
      </c>
      <c r="B158" s="2" t="s">
        <v>39</v>
      </c>
      <c r="C158" s="1" t="s">
        <v>79</v>
      </c>
      <c r="D158" s="8">
        <f>IFERROR(SUMIFS(ENTRADASBODEGA[CANTIDAD],ENTRADASBODEGA[DESCRIPCIÓN],INVENTARIOBODEGA[[#This Row],[DESCRIPCIÓN]],ENTRADASBODEGA[LOTE],INVENTARIOBODEGA[[#This Row],[LOTE]]),"-")</f>
        <v>12</v>
      </c>
      <c r="E158" s="8">
        <f>IFERROR(SUMIFS(SALIDASBODEGA[CANTIDAD],SALIDASBODEGA[DESCRIPCIÓN],INVENTARIOBODEGA[[#This Row],[DESCRIPCIÓN]],SALIDASBODEGA[LOTE],INVENTARIOBODEGA[[#This Row],[LOTE]]),"-")</f>
        <v>0</v>
      </c>
      <c r="F158" s="8">
        <f>INVENTARIOBODEGA[[#This Row],[ENTRADAS]]-INVENTARIOBODEGA[[#This Row],[SALIDAS ]]</f>
        <v>12</v>
      </c>
      <c r="G158" s="1"/>
      <c r="H158" s="9">
        <f>INVENTARIOBODEGA[[#This Row],[COSTO UNITARIO]]*INVENTARIOBODEGA[[#This Row],[STOCK ACTUAL]]</f>
        <v>0</v>
      </c>
    </row>
    <row r="159" spans="1:8" ht="16" x14ac:dyDescent="0.2">
      <c r="A159" s="2" t="s">
        <v>262</v>
      </c>
      <c r="B159" s="2" t="s">
        <v>131</v>
      </c>
      <c r="C159" s="1" t="s">
        <v>79</v>
      </c>
      <c r="D159" s="8">
        <f>IFERROR(SUMIFS(ENTRADASBODEGA[CANTIDAD],ENTRADASBODEGA[DESCRIPCIÓN],INVENTARIOBODEGA[[#This Row],[DESCRIPCIÓN]],ENTRADASBODEGA[LOTE],INVENTARIOBODEGA[[#This Row],[LOTE]]),"-")</f>
        <v>1</v>
      </c>
      <c r="E159" s="8">
        <f>IFERROR(SUMIFS(SALIDASBODEGA[CANTIDAD],SALIDASBODEGA[DESCRIPCIÓN],INVENTARIOBODEGA[[#This Row],[DESCRIPCIÓN]],SALIDASBODEGA[LOTE],INVENTARIOBODEGA[[#This Row],[LOTE]]),"-")</f>
        <v>0</v>
      </c>
      <c r="F159" s="8">
        <f>INVENTARIOBODEGA[[#This Row],[ENTRADAS]]-INVENTARIOBODEGA[[#This Row],[SALIDAS ]]</f>
        <v>1</v>
      </c>
      <c r="G159" s="1"/>
      <c r="H159" s="9">
        <f>INVENTARIOBODEGA[[#This Row],[COSTO UNITARIO]]*INVENTARIOBODEGA[[#This Row],[STOCK ACTUAL]]</f>
        <v>0</v>
      </c>
    </row>
    <row r="160" spans="1:8" ht="16" x14ac:dyDescent="0.2">
      <c r="A160" s="2" t="s">
        <v>182</v>
      </c>
      <c r="B160" s="2" t="s">
        <v>38</v>
      </c>
      <c r="C160" s="1" t="s">
        <v>79</v>
      </c>
      <c r="D160" s="8">
        <f>IFERROR(SUMIFS(ENTRADASBODEGA[CANTIDAD],ENTRADASBODEGA[DESCRIPCIÓN],INVENTARIOBODEGA[[#This Row],[DESCRIPCIÓN]],ENTRADASBODEGA[LOTE],INVENTARIOBODEGA[[#This Row],[LOTE]]),"-")</f>
        <v>1</v>
      </c>
      <c r="E160" s="8">
        <f>IFERROR(SUMIFS(SALIDASBODEGA[CANTIDAD],SALIDASBODEGA[DESCRIPCIÓN],INVENTARIOBODEGA[[#This Row],[DESCRIPCIÓN]],SALIDASBODEGA[LOTE],INVENTARIOBODEGA[[#This Row],[LOTE]]),"-")</f>
        <v>0</v>
      </c>
      <c r="F160" s="8">
        <f>INVENTARIOBODEGA[[#This Row],[ENTRADAS]]-INVENTARIOBODEGA[[#This Row],[SALIDAS ]]</f>
        <v>1</v>
      </c>
      <c r="G160" s="1"/>
      <c r="H160" s="9">
        <f>INVENTARIOBODEGA[[#This Row],[COSTO UNITARIO]]*INVENTARIOBODEGA[[#This Row],[STOCK ACTUAL]]</f>
        <v>0</v>
      </c>
    </row>
    <row r="161" spans="1:8" ht="16" x14ac:dyDescent="0.2">
      <c r="A161" s="2" t="s">
        <v>212</v>
      </c>
      <c r="B161" s="2" t="s">
        <v>70</v>
      </c>
      <c r="C161" s="1" t="s">
        <v>79</v>
      </c>
      <c r="D161" s="8">
        <f>IFERROR(SUMIFS(ENTRADASBODEGA[CANTIDAD],ENTRADASBODEGA[DESCRIPCIÓN],INVENTARIOBODEGA[[#This Row],[DESCRIPCIÓN]],ENTRADASBODEGA[LOTE],INVENTARIOBODEGA[[#This Row],[LOTE]]),"-")</f>
        <v>1</v>
      </c>
      <c r="E161" s="8">
        <f>IFERROR(SUMIFS(SALIDASBODEGA[CANTIDAD],SALIDASBODEGA[DESCRIPCIÓN],INVENTARIOBODEGA[[#This Row],[DESCRIPCIÓN]],SALIDASBODEGA[LOTE],INVENTARIOBODEGA[[#This Row],[LOTE]]),"-")</f>
        <v>0</v>
      </c>
      <c r="F161" s="8">
        <f>INVENTARIOBODEGA[[#This Row],[ENTRADAS]]-INVENTARIOBODEGA[[#This Row],[SALIDAS ]]</f>
        <v>1</v>
      </c>
      <c r="G161" s="1"/>
      <c r="H161" s="9">
        <f>INVENTARIOBODEGA[[#This Row],[COSTO UNITARIO]]*INVENTARIOBODEGA[[#This Row],[STOCK ACTUAL]]</f>
        <v>0</v>
      </c>
    </row>
    <row r="162" spans="1:8" ht="16" x14ac:dyDescent="0.2">
      <c r="A162" s="2" t="s">
        <v>184</v>
      </c>
      <c r="B162" s="2" t="s">
        <v>40</v>
      </c>
      <c r="C162" s="1" t="s">
        <v>79</v>
      </c>
      <c r="D162" s="8">
        <f>IFERROR(SUMIFS(ENTRADASBODEGA[CANTIDAD],ENTRADASBODEGA[DESCRIPCIÓN],INVENTARIOBODEGA[[#This Row],[DESCRIPCIÓN]],ENTRADASBODEGA[LOTE],INVENTARIOBODEGA[[#This Row],[LOTE]]),"-")</f>
        <v>1</v>
      </c>
      <c r="E162" s="8">
        <f>IFERROR(SUMIFS(SALIDASBODEGA[CANTIDAD],SALIDASBODEGA[DESCRIPCIÓN],INVENTARIOBODEGA[[#This Row],[DESCRIPCIÓN]],SALIDASBODEGA[LOTE],INVENTARIOBODEGA[[#This Row],[LOTE]]),"-")</f>
        <v>0</v>
      </c>
      <c r="F162" s="8">
        <f>INVENTARIOBODEGA[[#This Row],[ENTRADAS]]-INVENTARIOBODEGA[[#This Row],[SALIDAS ]]</f>
        <v>1</v>
      </c>
      <c r="G162" s="1"/>
      <c r="H162" s="9">
        <f>INVENTARIOBODEGA[[#This Row],[COSTO UNITARIO]]*INVENTARIOBODEGA[[#This Row],[STOCK ACTUAL]]</f>
        <v>0</v>
      </c>
    </row>
    <row r="163" spans="1:8" ht="16" x14ac:dyDescent="0.2">
      <c r="A163" s="2" t="s">
        <v>191</v>
      </c>
      <c r="B163" s="2" t="s">
        <v>46</v>
      </c>
      <c r="C163" s="1" t="s">
        <v>79</v>
      </c>
      <c r="D163" s="8">
        <f>IFERROR(SUMIFS(ENTRADASBODEGA[CANTIDAD],ENTRADASBODEGA[DESCRIPCIÓN],INVENTARIOBODEGA[[#This Row],[DESCRIPCIÓN]],ENTRADASBODEGA[LOTE],INVENTARIOBODEGA[[#This Row],[LOTE]]),"-")</f>
        <v>1</v>
      </c>
      <c r="E163" s="8">
        <f>IFERROR(SUMIFS(SALIDASBODEGA[CANTIDAD],SALIDASBODEGA[DESCRIPCIÓN],INVENTARIOBODEGA[[#This Row],[DESCRIPCIÓN]],SALIDASBODEGA[LOTE],INVENTARIOBODEGA[[#This Row],[LOTE]]),"-")</f>
        <v>0</v>
      </c>
      <c r="F163" s="8">
        <f>INVENTARIOBODEGA[[#This Row],[ENTRADAS]]-INVENTARIOBODEGA[[#This Row],[SALIDAS ]]</f>
        <v>1</v>
      </c>
      <c r="G163" s="1"/>
      <c r="H163" s="9">
        <f>INVENTARIOBODEGA[[#This Row],[COSTO UNITARIO]]*INVENTARIOBODEGA[[#This Row],[STOCK ACTUAL]]</f>
        <v>0</v>
      </c>
    </row>
    <row r="164" spans="1:8" ht="16" x14ac:dyDescent="0.2">
      <c r="A164" s="2" t="s">
        <v>249</v>
      </c>
      <c r="B164" s="2" t="s">
        <v>119</v>
      </c>
      <c r="C164" s="1" t="s">
        <v>79</v>
      </c>
      <c r="D164" s="8">
        <f>IFERROR(SUMIFS(ENTRADASBODEGA[CANTIDAD],ENTRADASBODEGA[DESCRIPCIÓN],INVENTARIOBODEGA[[#This Row],[DESCRIPCIÓN]],ENTRADASBODEGA[LOTE],INVENTARIOBODEGA[[#This Row],[LOTE]]),"-")</f>
        <v>34</v>
      </c>
      <c r="E164" s="8">
        <f>IFERROR(SUMIFS(SALIDASBODEGA[CANTIDAD],SALIDASBODEGA[DESCRIPCIÓN],INVENTARIOBODEGA[[#This Row],[DESCRIPCIÓN]],SALIDASBODEGA[LOTE],INVENTARIOBODEGA[[#This Row],[LOTE]]),"-")</f>
        <v>0</v>
      </c>
      <c r="F164" s="8">
        <f>INVENTARIOBODEGA[[#This Row],[ENTRADAS]]-INVENTARIOBODEGA[[#This Row],[SALIDAS ]]</f>
        <v>34</v>
      </c>
      <c r="G164" s="1"/>
      <c r="H164" s="9">
        <f>INVENTARIOBODEGA[[#This Row],[COSTO UNITARIO]]*INVENTARIOBODEGA[[#This Row],[STOCK ACTUAL]]</f>
        <v>0</v>
      </c>
    </row>
    <row r="165" spans="1:8" ht="16" x14ac:dyDescent="0.2">
      <c r="A165" s="2" t="s">
        <v>163</v>
      </c>
      <c r="B165" s="2" t="s">
        <v>21</v>
      </c>
      <c r="C165" s="1" t="s">
        <v>79</v>
      </c>
      <c r="D165" s="8">
        <f>IFERROR(SUMIFS(ENTRADASBODEGA[CANTIDAD],ENTRADASBODEGA[DESCRIPCIÓN],INVENTARIOBODEGA[[#This Row],[DESCRIPCIÓN]],ENTRADASBODEGA[LOTE],INVENTARIOBODEGA[[#This Row],[LOTE]]),"-")</f>
        <v>121</v>
      </c>
      <c r="E165" s="8">
        <f>IFERROR(SUMIFS(SALIDASBODEGA[CANTIDAD],SALIDASBODEGA[DESCRIPCIÓN],INVENTARIOBODEGA[[#This Row],[DESCRIPCIÓN]],SALIDASBODEGA[LOTE],INVENTARIOBODEGA[[#This Row],[LOTE]]),"-")</f>
        <v>4</v>
      </c>
      <c r="F165" s="8">
        <f>INVENTARIOBODEGA[[#This Row],[ENTRADAS]]-INVENTARIOBODEGA[[#This Row],[SALIDAS ]]</f>
        <v>117</v>
      </c>
      <c r="G165" s="1"/>
      <c r="H165" s="9">
        <f>INVENTARIOBODEGA[[#This Row],[COSTO UNITARIO]]*INVENTARIOBODEGA[[#This Row],[STOCK ACTUAL]]</f>
        <v>0</v>
      </c>
    </row>
    <row r="166" spans="1:8" ht="16" x14ac:dyDescent="0.2">
      <c r="A166" s="2" t="s">
        <v>251</v>
      </c>
      <c r="B166" s="2" t="s">
        <v>121</v>
      </c>
      <c r="C166" s="1" t="s">
        <v>79</v>
      </c>
      <c r="D166" s="8">
        <f>IFERROR(SUMIFS(ENTRADASBODEGA[CANTIDAD],ENTRADASBODEGA[DESCRIPCIÓN],INVENTARIOBODEGA[[#This Row],[DESCRIPCIÓN]],ENTRADASBODEGA[LOTE],INVENTARIOBODEGA[[#This Row],[LOTE]]),"-")</f>
        <v>85</v>
      </c>
      <c r="E166" s="8">
        <f>IFERROR(SUMIFS(SALIDASBODEGA[CANTIDAD],SALIDASBODEGA[DESCRIPCIÓN],INVENTARIOBODEGA[[#This Row],[DESCRIPCIÓN]],SALIDASBODEGA[LOTE],INVENTARIOBODEGA[[#This Row],[LOTE]]),"-")</f>
        <v>0</v>
      </c>
      <c r="F166" s="8">
        <f>INVENTARIOBODEGA[[#This Row],[ENTRADAS]]-INVENTARIOBODEGA[[#This Row],[SALIDAS ]]</f>
        <v>85</v>
      </c>
      <c r="G166" s="1"/>
      <c r="H166" s="9">
        <f>INVENTARIOBODEGA[[#This Row],[COSTO UNITARIO]]*INVENTARIOBODEGA[[#This Row],[STOCK ACTUAL]]</f>
        <v>0</v>
      </c>
    </row>
    <row r="167" spans="1:8" ht="16" x14ac:dyDescent="0.2">
      <c r="A167" s="2" t="s">
        <v>161</v>
      </c>
      <c r="B167" s="2" t="s">
        <v>19</v>
      </c>
      <c r="C167" s="1" t="s">
        <v>79</v>
      </c>
      <c r="D167" s="8">
        <f>IFERROR(SUMIFS(ENTRADASBODEGA[CANTIDAD],ENTRADASBODEGA[DESCRIPCIÓN],INVENTARIOBODEGA[[#This Row],[DESCRIPCIÓN]],ENTRADASBODEGA[LOTE],INVENTARIOBODEGA[[#This Row],[LOTE]]),"-")</f>
        <v>39</v>
      </c>
      <c r="E167" s="8">
        <f>IFERROR(SUMIFS(SALIDASBODEGA[CANTIDAD],SALIDASBODEGA[DESCRIPCIÓN],INVENTARIOBODEGA[[#This Row],[DESCRIPCIÓN]],SALIDASBODEGA[LOTE],INVENTARIOBODEGA[[#This Row],[LOTE]]),"-")</f>
        <v>20</v>
      </c>
      <c r="F167" s="8">
        <f>INVENTARIOBODEGA[[#This Row],[ENTRADAS]]-INVENTARIOBODEGA[[#This Row],[SALIDAS ]]</f>
        <v>19</v>
      </c>
      <c r="G167" s="1"/>
      <c r="H167" s="9">
        <f>INVENTARIOBODEGA[[#This Row],[COSTO UNITARIO]]*INVENTARIOBODEGA[[#This Row],[STOCK ACTUAL]]</f>
        <v>0</v>
      </c>
    </row>
    <row r="168" spans="1:8" ht="16" x14ac:dyDescent="0.2">
      <c r="A168" s="2" t="s">
        <v>185</v>
      </c>
      <c r="B168" s="2" t="s">
        <v>42</v>
      </c>
      <c r="C168" s="1" t="s">
        <v>79</v>
      </c>
      <c r="D168" s="8">
        <f>IFERROR(SUMIFS(ENTRADASBODEGA[CANTIDAD],ENTRADASBODEGA[DESCRIPCIÓN],INVENTARIOBODEGA[[#This Row],[DESCRIPCIÓN]],ENTRADASBODEGA[LOTE],INVENTARIOBODEGA[[#This Row],[LOTE]]),"-")</f>
        <v>1</v>
      </c>
      <c r="E168" s="8">
        <f>IFERROR(SUMIFS(SALIDASBODEGA[CANTIDAD],SALIDASBODEGA[DESCRIPCIÓN],INVENTARIOBODEGA[[#This Row],[DESCRIPCIÓN]],SALIDASBODEGA[LOTE],INVENTARIOBODEGA[[#This Row],[LOTE]]),"-")</f>
        <v>0</v>
      </c>
      <c r="F168" s="8">
        <f>INVENTARIOBODEGA[[#This Row],[ENTRADAS]]-INVENTARIOBODEGA[[#This Row],[SALIDAS ]]</f>
        <v>1</v>
      </c>
      <c r="G168" s="1"/>
      <c r="H168" s="9">
        <f>INVENTARIOBODEGA[[#This Row],[COSTO UNITARIO]]*INVENTARIOBODEGA[[#This Row],[STOCK ACTUAL]]</f>
        <v>0</v>
      </c>
    </row>
    <row r="169" spans="1:8" ht="16" x14ac:dyDescent="0.2">
      <c r="A169" s="2" t="s">
        <v>175</v>
      </c>
      <c r="B169" s="2" t="s">
        <v>32</v>
      </c>
      <c r="C169" s="1" t="s">
        <v>79</v>
      </c>
      <c r="D169" s="8">
        <f>IFERROR(SUMIFS(ENTRADASBODEGA[CANTIDAD],ENTRADASBODEGA[DESCRIPCIÓN],INVENTARIOBODEGA[[#This Row],[DESCRIPCIÓN]],ENTRADASBODEGA[LOTE],INVENTARIOBODEGA[[#This Row],[LOTE]]),"-")</f>
        <v>4</v>
      </c>
      <c r="E169" s="8">
        <f>IFERROR(SUMIFS(SALIDASBODEGA[CANTIDAD],SALIDASBODEGA[DESCRIPCIÓN],INVENTARIOBODEGA[[#This Row],[DESCRIPCIÓN]],SALIDASBODEGA[LOTE],INVENTARIOBODEGA[[#This Row],[LOTE]]),"-")</f>
        <v>0</v>
      </c>
      <c r="F169" s="8">
        <f>INVENTARIOBODEGA[[#This Row],[ENTRADAS]]-INVENTARIOBODEGA[[#This Row],[SALIDAS ]]</f>
        <v>4</v>
      </c>
      <c r="G169" s="1"/>
      <c r="H169" s="9">
        <f>INVENTARIOBODEGA[[#This Row],[COSTO UNITARIO]]*INVENTARIOBODEGA[[#This Row],[STOCK ACTUAL]]</f>
        <v>0</v>
      </c>
    </row>
    <row r="170" spans="1:8" ht="16" x14ac:dyDescent="0.2">
      <c r="A170" s="2" t="s">
        <v>179</v>
      </c>
      <c r="B170" s="2" t="s">
        <v>35</v>
      </c>
      <c r="C170" s="1" t="s">
        <v>79</v>
      </c>
      <c r="D170" s="8">
        <f>IFERROR(SUMIFS(ENTRADASBODEGA[CANTIDAD],ENTRADASBODEGA[DESCRIPCIÓN],INVENTARIOBODEGA[[#This Row],[DESCRIPCIÓN]],ENTRADASBODEGA[LOTE],INVENTARIOBODEGA[[#This Row],[LOTE]]),"-")</f>
        <v>1</v>
      </c>
      <c r="E170" s="8">
        <f>IFERROR(SUMIFS(SALIDASBODEGA[CANTIDAD],SALIDASBODEGA[DESCRIPCIÓN],INVENTARIOBODEGA[[#This Row],[DESCRIPCIÓN]],SALIDASBODEGA[LOTE],INVENTARIOBODEGA[[#This Row],[LOTE]]),"-")</f>
        <v>0</v>
      </c>
      <c r="F170" s="8">
        <f>INVENTARIOBODEGA[[#This Row],[ENTRADAS]]-INVENTARIOBODEGA[[#This Row],[SALIDAS ]]</f>
        <v>1</v>
      </c>
      <c r="G170" s="1"/>
      <c r="H170" s="9">
        <f>INVENTARIOBODEGA[[#This Row],[COSTO UNITARIO]]*INVENTARIOBODEGA[[#This Row],[STOCK ACTUAL]]</f>
        <v>0</v>
      </c>
    </row>
    <row r="171" spans="1:8" ht="16" x14ac:dyDescent="0.2">
      <c r="A171" s="2" t="s">
        <v>253</v>
      </c>
      <c r="B171" s="2" t="s">
        <v>123</v>
      </c>
      <c r="C171" s="1" t="s">
        <v>79</v>
      </c>
      <c r="D171" s="8">
        <f>IFERROR(SUMIFS(ENTRADASBODEGA[CANTIDAD],ENTRADASBODEGA[DESCRIPCIÓN],INVENTARIOBODEGA[[#This Row],[DESCRIPCIÓN]],ENTRADASBODEGA[LOTE],INVENTARIOBODEGA[[#This Row],[LOTE]]),"-")</f>
        <v>73</v>
      </c>
      <c r="E171" s="8">
        <f>IFERROR(SUMIFS(SALIDASBODEGA[CANTIDAD],SALIDASBODEGA[DESCRIPCIÓN],INVENTARIOBODEGA[[#This Row],[DESCRIPCIÓN]],SALIDASBODEGA[LOTE],INVENTARIOBODEGA[[#This Row],[LOTE]]),"-")</f>
        <v>0</v>
      </c>
      <c r="F171" s="8">
        <f>INVENTARIOBODEGA[[#This Row],[ENTRADAS]]-INVENTARIOBODEGA[[#This Row],[SALIDAS ]]</f>
        <v>73</v>
      </c>
      <c r="G171" s="1"/>
      <c r="H171" s="9">
        <f>INVENTARIOBODEGA[[#This Row],[COSTO UNITARIO]]*INVENTARIOBODEGA[[#This Row],[STOCK ACTUAL]]</f>
        <v>0</v>
      </c>
    </row>
    <row r="172" spans="1:8" ht="16" x14ac:dyDescent="0.2">
      <c r="A172" s="2" t="s">
        <v>587</v>
      </c>
      <c r="B172" s="2" t="s">
        <v>555</v>
      </c>
      <c r="C172" s="1" t="s">
        <v>79</v>
      </c>
      <c r="D172" s="8">
        <f>IFERROR(SUMIFS(ENTRADASBODEGA[CANTIDAD],ENTRADASBODEGA[DESCRIPCIÓN],INVENTARIOBODEGA[[#This Row],[DESCRIPCIÓN]],ENTRADASBODEGA[LOTE],INVENTARIOBODEGA[[#This Row],[LOTE]]),"-")</f>
        <v>150</v>
      </c>
      <c r="E172" s="8">
        <f>IFERROR(SUMIFS(SALIDASBODEGA[CANTIDAD],SALIDASBODEGA[DESCRIPCIÓN],INVENTARIOBODEGA[[#This Row],[DESCRIPCIÓN]],SALIDASBODEGA[LOTE],INVENTARIOBODEGA[[#This Row],[LOTE]]),"-")</f>
        <v>0</v>
      </c>
      <c r="F172" s="8">
        <f>INVENTARIOBODEGA[[#This Row],[ENTRADAS]]-INVENTARIOBODEGA[[#This Row],[SALIDAS ]]</f>
        <v>150</v>
      </c>
      <c r="G172" s="1"/>
      <c r="H172" s="9">
        <f>INVENTARIOBODEGA[[#This Row],[COSTO UNITARIO]]*INVENTARIOBODEGA[[#This Row],[STOCK ACTUAL]]</f>
        <v>0</v>
      </c>
    </row>
    <row r="173" spans="1:8" ht="16" x14ac:dyDescent="0.2">
      <c r="A173" s="2" t="s">
        <v>266</v>
      </c>
      <c r="B173" s="2" t="s">
        <v>135</v>
      </c>
      <c r="C173" s="1" t="s">
        <v>79</v>
      </c>
      <c r="D173" s="8">
        <f>IFERROR(SUMIFS(ENTRADASBODEGA[CANTIDAD],ENTRADASBODEGA[DESCRIPCIÓN],INVENTARIOBODEGA[[#This Row],[DESCRIPCIÓN]],ENTRADASBODEGA[LOTE],INVENTARIOBODEGA[[#This Row],[LOTE]]),"-")</f>
        <v>1</v>
      </c>
      <c r="E173" s="8">
        <f>IFERROR(SUMIFS(SALIDASBODEGA[CANTIDAD],SALIDASBODEGA[DESCRIPCIÓN],INVENTARIOBODEGA[[#This Row],[DESCRIPCIÓN]],SALIDASBODEGA[LOTE],INVENTARIOBODEGA[[#This Row],[LOTE]]),"-")</f>
        <v>0</v>
      </c>
      <c r="F173" s="8">
        <f>INVENTARIOBODEGA[[#This Row],[ENTRADAS]]-INVENTARIOBODEGA[[#This Row],[SALIDAS ]]</f>
        <v>1</v>
      </c>
      <c r="G173" s="1"/>
      <c r="H173" s="9">
        <f>INVENTARIOBODEGA[[#This Row],[COSTO UNITARIO]]*INVENTARIOBODEGA[[#This Row],[STOCK ACTUAL]]</f>
        <v>0</v>
      </c>
    </row>
    <row r="174" spans="1:8" ht="16" x14ac:dyDescent="0.2">
      <c r="A174" s="2" t="s">
        <v>180</v>
      </c>
      <c r="B174" s="2" t="s">
        <v>36</v>
      </c>
      <c r="C174" s="1" t="s">
        <v>79</v>
      </c>
      <c r="D174" s="8">
        <f>IFERROR(SUMIFS(ENTRADASBODEGA[CANTIDAD],ENTRADASBODEGA[DESCRIPCIÓN],INVENTARIOBODEGA[[#This Row],[DESCRIPCIÓN]],ENTRADASBODEGA[LOTE],INVENTARIOBODEGA[[#This Row],[LOTE]]),"-")</f>
        <v>1</v>
      </c>
      <c r="E174" s="8">
        <f>IFERROR(SUMIFS(SALIDASBODEGA[CANTIDAD],SALIDASBODEGA[DESCRIPCIÓN],INVENTARIOBODEGA[[#This Row],[DESCRIPCIÓN]],SALIDASBODEGA[LOTE],INVENTARIOBODEGA[[#This Row],[LOTE]]),"-")</f>
        <v>0</v>
      </c>
      <c r="F174" s="8">
        <f>INVENTARIOBODEGA[[#This Row],[ENTRADAS]]-INVENTARIOBODEGA[[#This Row],[SALIDAS ]]</f>
        <v>1</v>
      </c>
      <c r="G174" s="1"/>
      <c r="H174" s="9">
        <f>INVENTARIOBODEGA[[#This Row],[COSTO UNITARIO]]*INVENTARIOBODEGA[[#This Row],[STOCK ACTUAL]]</f>
        <v>0</v>
      </c>
    </row>
    <row r="175" spans="1:8" ht="16" x14ac:dyDescent="0.2">
      <c r="A175" s="2" t="s">
        <v>252</v>
      </c>
      <c r="B175" s="2" t="s">
        <v>122</v>
      </c>
      <c r="C175" s="1" t="s">
        <v>79</v>
      </c>
      <c r="D175" s="8">
        <f>IFERROR(SUMIFS(ENTRADASBODEGA[CANTIDAD],ENTRADASBODEGA[DESCRIPCIÓN],INVENTARIOBODEGA[[#This Row],[DESCRIPCIÓN]],ENTRADASBODEGA[LOTE],INVENTARIOBODEGA[[#This Row],[LOTE]]),"-")</f>
        <v>22</v>
      </c>
      <c r="E175" s="8">
        <f>IFERROR(SUMIFS(SALIDASBODEGA[CANTIDAD],SALIDASBODEGA[DESCRIPCIÓN],INVENTARIOBODEGA[[#This Row],[DESCRIPCIÓN]],SALIDASBODEGA[LOTE],INVENTARIOBODEGA[[#This Row],[LOTE]]),"-")</f>
        <v>0</v>
      </c>
      <c r="F175" s="8">
        <f>INVENTARIOBODEGA[[#This Row],[ENTRADAS]]-INVENTARIOBODEGA[[#This Row],[SALIDAS ]]</f>
        <v>22</v>
      </c>
      <c r="G175" s="1"/>
      <c r="H175" s="9">
        <f>INVENTARIOBODEGA[[#This Row],[COSTO UNITARIO]]*INVENTARIOBODEGA[[#This Row],[STOCK ACTUAL]]</f>
        <v>0</v>
      </c>
    </row>
    <row r="176" spans="1:8" ht="16" x14ac:dyDescent="0.2">
      <c r="A176" s="2" t="s">
        <v>173</v>
      </c>
      <c r="B176" s="2" t="s">
        <v>30</v>
      </c>
      <c r="C176" s="1" t="s">
        <v>79</v>
      </c>
      <c r="D176" s="8">
        <f>IFERROR(SUMIFS(ENTRADASBODEGA[CANTIDAD],ENTRADASBODEGA[DESCRIPCIÓN],INVENTARIOBODEGA[[#This Row],[DESCRIPCIÓN]],ENTRADASBODEGA[LOTE],INVENTARIOBODEGA[[#This Row],[LOTE]]),"-")</f>
        <v>1</v>
      </c>
      <c r="E176" s="8">
        <f>IFERROR(SUMIFS(SALIDASBODEGA[CANTIDAD],SALIDASBODEGA[DESCRIPCIÓN],INVENTARIOBODEGA[[#This Row],[DESCRIPCIÓN]],SALIDASBODEGA[LOTE],INVENTARIOBODEGA[[#This Row],[LOTE]]),"-")</f>
        <v>0</v>
      </c>
      <c r="F176" s="8">
        <f>INVENTARIOBODEGA[[#This Row],[ENTRADAS]]-INVENTARIOBODEGA[[#This Row],[SALIDAS ]]</f>
        <v>1</v>
      </c>
      <c r="G176" s="1"/>
      <c r="H176" s="9">
        <f>INVENTARIOBODEGA[[#This Row],[COSTO UNITARIO]]*INVENTARIOBODEGA[[#This Row],[STOCK ACTUAL]]</f>
        <v>0</v>
      </c>
    </row>
    <row r="177" spans="1:8" ht="16" x14ac:dyDescent="0.2">
      <c r="A177" s="2" t="s">
        <v>186</v>
      </c>
      <c r="B177" s="2" t="s">
        <v>43</v>
      </c>
      <c r="C177" s="1" t="s">
        <v>79</v>
      </c>
      <c r="D177" s="8">
        <f>IFERROR(SUMIFS(ENTRADASBODEGA[CANTIDAD],ENTRADASBODEGA[DESCRIPCIÓN],INVENTARIOBODEGA[[#This Row],[DESCRIPCIÓN]],ENTRADASBODEGA[LOTE],INVENTARIOBODEGA[[#This Row],[LOTE]]),"-")</f>
        <v>2</v>
      </c>
      <c r="E177" s="8">
        <f>IFERROR(SUMIFS(SALIDASBODEGA[CANTIDAD],SALIDASBODEGA[DESCRIPCIÓN],INVENTARIOBODEGA[[#This Row],[DESCRIPCIÓN]],SALIDASBODEGA[LOTE],INVENTARIOBODEGA[[#This Row],[LOTE]]),"-")</f>
        <v>0</v>
      </c>
      <c r="F177" s="8">
        <f>INVENTARIOBODEGA[[#This Row],[ENTRADAS]]-INVENTARIOBODEGA[[#This Row],[SALIDAS ]]</f>
        <v>2</v>
      </c>
      <c r="G177" s="1"/>
      <c r="H177" s="9">
        <f>INVENTARIOBODEGA[[#This Row],[COSTO UNITARIO]]*INVENTARIOBODEGA[[#This Row],[STOCK ACTUAL]]</f>
        <v>0</v>
      </c>
    </row>
    <row r="178" spans="1:8" ht="16" x14ac:dyDescent="0.2">
      <c r="A178" s="2" t="s">
        <v>177</v>
      </c>
      <c r="B178" s="2" t="s">
        <v>61</v>
      </c>
      <c r="C178" s="1" t="s">
        <v>79</v>
      </c>
      <c r="D178" s="8">
        <f>IFERROR(SUMIFS(ENTRADASBODEGA[CANTIDAD],ENTRADASBODEGA[DESCRIPCIÓN],INVENTARIOBODEGA[[#This Row],[DESCRIPCIÓN]],ENTRADASBODEGA[LOTE],INVENTARIOBODEGA[[#This Row],[LOTE]]),"-")</f>
        <v>1</v>
      </c>
      <c r="E178" s="8">
        <f>IFERROR(SUMIFS(SALIDASBODEGA[CANTIDAD],SALIDASBODEGA[DESCRIPCIÓN],INVENTARIOBODEGA[[#This Row],[DESCRIPCIÓN]],SALIDASBODEGA[LOTE],INVENTARIOBODEGA[[#This Row],[LOTE]]),"-")</f>
        <v>0</v>
      </c>
      <c r="F178" s="8">
        <f>INVENTARIOBODEGA[[#This Row],[ENTRADAS]]-INVENTARIOBODEGA[[#This Row],[SALIDAS ]]</f>
        <v>1</v>
      </c>
      <c r="G178" s="1"/>
      <c r="H178" s="9">
        <f>INVENTARIOBODEGA[[#This Row],[COSTO UNITARIO]]*INVENTARIOBODEGA[[#This Row],[STOCK ACTUAL]]</f>
        <v>0</v>
      </c>
    </row>
    <row r="179" spans="1:8" ht="16" x14ac:dyDescent="0.2">
      <c r="A179" s="2" t="s">
        <v>176</v>
      </c>
      <c r="B179" s="2" t="s">
        <v>41</v>
      </c>
      <c r="C179" s="1" t="s">
        <v>79</v>
      </c>
      <c r="D179" s="8">
        <f>IFERROR(SUMIFS(ENTRADASBODEGA[CANTIDAD],ENTRADASBODEGA[DESCRIPCIÓN],INVENTARIOBODEGA[[#This Row],[DESCRIPCIÓN]],ENTRADASBODEGA[LOTE],INVENTARIOBODEGA[[#This Row],[LOTE]]),"-")</f>
        <v>19</v>
      </c>
      <c r="E179" s="8">
        <f>IFERROR(SUMIFS(SALIDASBODEGA[CANTIDAD],SALIDASBODEGA[DESCRIPCIÓN],INVENTARIOBODEGA[[#This Row],[DESCRIPCIÓN]],SALIDASBODEGA[LOTE],INVENTARIOBODEGA[[#This Row],[LOTE]]),"-")</f>
        <v>0</v>
      </c>
      <c r="F179" s="8">
        <f>INVENTARIOBODEGA[[#This Row],[ENTRADAS]]-INVENTARIOBODEGA[[#This Row],[SALIDAS ]]</f>
        <v>19</v>
      </c>
      <c r="G179" s="1"/>
      <c r="H179" s="9">
        <f>INVENTARIOBODEGA[[#This Row],[COSTO UNITARIO]]*INVENTARIOBODEGA[[#This Row],[STOCK ACTUAL]]</f>
        <v>0</v>
      </c>
    </row>
    <row r="180" spans="1:8" ht="16" x14ac:dyDescent="0.2">
      <c r="A180" s="2" t="s">
        <v>178</v>
      </c>
      <c r="B180" s="2" t="s">
        <v>34</v>
      </c>
      <c r="C180" s="1" t="s">
        <v>79</v>
      </c>
      <c r="D180" s="8">
        <f>IFERROR(SUMIFS(ENTRADASBODEGA[CANTIDAD],ENTRADASBODEGA[DESCRIPCIÓN],INVENTARIOBODEGA[[#This Row],[DESCRIPCIÓN]],ENTRADASBODEGA[LOTE],INVENTARIOBODEGA[[#This Row],[LOTE]]),"-")</f>
        <v>1</v>
      </c>
      <c r="E180" s="8">
        <f>IFERROR(SUMIFS(SALIDASBODEGA[CANTIDAD],SALIDASBODEGA[DESCRIPCIÓN],INVENTARIOBODEGA[[#This Row],[DESCRIPCIÓN]],SALIDASBODEGA[LOTE],INVENTARIOBODEGA[[#This Row],[LOTE]]),"-")</f>
        <v>0</v>
      </c>
      <c r="F180" s="8">
        <f>INVENTARIOBODEGA[[#This Row],[ENTRADAS]]-INVENTARIOBODEGA[[#This Row],[SALIDAS ]]</f>
        <v>1</v>
      </c>
      <c r="G180" s="1"/>
      <c r="H180" s="9">
        <f>INVENTARIOBODEGA[[#This Row],[COSTO UNITARIO]]*INVENTARIOBODEGA[[#This Row],[STOCK ACTUAL]]</f>
        <v>0</v>
      </c>
    </row>
    <row r="181" spans="1:8" ht="16" x14ac:dyDescent="0.2">
      <c r="A181" s="2" t="s">
        <v>588</v>
      </c>
      <c r="B181" s="2" t="s">
        <v>556</v>
      </c>
      <c r="C181" s="1" t="s">
        <v>473</v>
      </c>
      <c r="D181" s="8">
        <f>IFERROR(SUMIFS(ENTRADASBODEGA[CANTIDAD],ENTRADASBODEGA[DESCRIPCIÓN],INVENTARIOBODEGA[[#This Row],[DESCRIPCIÓN]],ENTRADASBODEGA[LOTE],INVENTARIOBODEGA[[#This Row],[LOTE]]),"-")</f>
        <v>15</v>
      </c>
      <c r="E181" s="8">
        <f>IFERROR(SUMIFS(SALIDASBODEGA[CANTIDAD],SALIDASBODEGA[DESCRIPCIÓN],INVENTARIOBODEGA[[#This Row],[DESCRIPCIÓN]],SALIDASBODEGA[LOTE],INVENTARIOBODEGA[[#This Row],[LOTE]]),"-")</f>
        <v>0</v>
      </c>
      <c r="F181" s="8">
        <f>INVENTARIOBODEGA[[#This Row],[ENTRADAS]]-INVENTARIOBODEGA[[#This Row],[SALIDAS ]]</f>
        <v>15</v>
      </c>
      <c r="G181" s="1"/>
      <c r="H181" s="9">
        <f>INVENTARIOBODEGA[[#This Row],[COSTO UNITARIO]]*INVENTARIOBODEGA[[#This Row],[STOCK ACTUAL]]</f>
        <v>0</v>
      </c>
    </row>
    <row r="182" spans="1:8" ht="16" x14ac:dyDescent="0.2">
      <c r="A182" s="2" t="s">
        <v>207</v>
      </c>
      <c r="B182" s="2" t="s">
        <v>65</v>
      </c>
      <c r="C182" s="1" t="s">
        <v>84</v>
      </c>
      <c r="D182" s="8">
        <f>IFERROR(SUMIFS(ENTRADASBODEGA[CANTIDAD],ENTRADASBODEGA[DESCRIPCIÓN],INVENTARIOBODEGA[[#This Row],[DESCRIPCIÓN]],ENTRADASBODEGA[LOTE],INVENTARIOBODEGA[[#This Row],[LOTE]]),"-")</f>
        <v>3</v>
      </c>
      <c r="E182" s="8">
        <f>IFERROR(SUMIFS(SALIDASBODEGA[CANTIDAD],SALIDASBODEGA[DESCRIPCIÓN],INVENTARIOBODEGA[[#This Row],[DESCRIPCIÓN]],SALIDASBODEGA[LOTE],INVENTARIOBODEGA[[#This Row],[LOTE]]),"-")</f>
        <v>0</v>
      </c>
      <c r="F182" s="8">
        <f>INVENTARIOBODEGA[[#This Row],[ENTRADAS]]-INVENTARIOBODEGA[[#This Row],[SALIDAS ]]</f>
        <v>3</v>
      </c>
      <c r="G182" s="1"/>
      <c r="H182" s="9">
        <f>INVENTARIOBODEGA[[#This Row],[COSTO UNITARIO]]*INVENTARIOBODEGA[[#This Row],[STOCK ACTUAL]]</f>
        <v>0</v>
      </c>
    </row>
    <row r="183" spans="1:8" ht="16" x14ac:dyDescent="0.2">
      <c r="A183" s="2" t="s">
        <v>205</v>
      </c>
      <c r="B183" s="2" t="s">
        <v>60</v>
      </c>
      <c r="C183" s="1" t="s">
        <v>84</v>
      </c>
      <c r="D183" s="8">
        <f>IFERROR(SUMIFS(ENTRADASBODEGA[CANTIDAD],ENTRADASBODEGA[DESCRIPCIÓN],INVENTARIOBODEGA[[#This Row],[DESCRIPCIÓN]],ENTRADASBODEGA[LOTE],INVENTARIOBODEGA[[#This Row],[LOTE]]),"-")</f>
        <v>13</v>
      </c>
      <c r="E183" s="8">
        <f>IFERROR(SUMIFS(SALIDASBODEGA[CANTIDAD],SALIDASBODEGA[DESCRIPCIÓN],INVENTARIOBODEGA[[#This Row],[DESCRIPCIÓN]],SALIDASBODEGA[LOTE],INVENTARIOBODEGA[[#This Row],[LOTE]]),"-")</f>
        <v>1</v>
      </c>
      <c r="F183" s="8">
        <f>INVENTARIOBODEGA[[#This Row],[ENTRADAS]]-INVENTARIOBODEGA[[#This Row],[SALIDAS ]]</f>
        <v>12</v>
      </c>
      <c r="G183" s="1"/>
      <c r="H183" s="9">
        <f>INVENTARIOBODEGA[[#This Row],[COSTO UNITARIO]]*INVENTARIOBODEGA[[#This Row],[STOCK ACTUAL]]</f>
        <v>0</v>
      </c>
    </row>
    <row r="184" spans="1:8" ht="16" x14ac:dyDescent="0.2">
      <c r="A184" s="2" t="s">
        <v>206</v>
      </c>
      <c r="B184" s="2" t="s">
        <v>64</v>
      </c>
      <c r="C184" s="1" t="s">
        <v>84</v>
      </c>
      <c r="D184" s="8">
        <f>IFERROR(SUMIFS(ENTRADASBODEGA[CANTIDAD],ENTRADASBODEGA[DESCRIPCIÓN],INVENTARIOBODEGA[[#This Row],[DESCRIPCIÓN]],ENTRADASBODEGA[LOTE],INVENTARIOBODEGA[[#This Row],[LOTE]]),"-")</f>
        <v>2</v>
      </c>
      <c r="E184" s="8">
        <f>IFERROR(SUMIFS(SALIDASBODEGA[CANTIDAD],SALIDASBODEGA[DESCRIPCIÓN],INVENTARIOBODEGA[[#This Row],[DESCRIPCIÓN]],SALIDASBODEGA[LOTE],INVENTARIOBODEGA[[#This Row],[LOTE]]),"-")</f>
        <v>0</v>
      </c>
      <c r="F184" s="8">
        <f>INVENTARIOBODEGA[[#This Row],[ENTRADAS]]-INVENTARIOBODEGA[[#This Row],[SALIDAS ]]</f>
        <v>2</v>
      </c>
      <c r="G184" s="1"/>
      <c r="H184" s="9">
        <f>INVENTARIOBODEGA[[#This Row],[COSTO UNITARIO]]*INVENTARIOBODEGA[[#This Row],[STOCK ACTUAL]]</f>
        <v>0</v>
      </c>
    </row>
    <row r="185" spans="1:8" ht="16" x14ac:dyDescent="0.2">
      <c r="A185" s="2" t="s">
        <v>590</v>
      </c>
      <c r="B185" s="2" t="s">
        <v>558</v>
      </c>
      <c r="C185" s="1" t="s">
        <v>147</v>
      </c>
      <c r="D185" s="8">
        <f>IFERROR(SUMIFS(ENTRADASBODEGA[CANTIDAD],ENTRADASBODEGA[DESCRIPCIÓN],INVENTARIOBODEGA[[#This Row],[DESCRIPCIÓN]],ENTRADASBODEGA[LOTE],INVENTARIOBODEGA[[#This Row],[LOTE]]),"-")</f>
        <v>4</v>
      </c>
      <c r="E185" s="8">
        <f>IFERROR(SUMIFS(SALIDASBODEGA[CANTIDAD],SALIDASBODEGA[DESCRIPCIÓN],INVENTARIOBODEGA[[#This Row],[DESCRIPCIÓN]],SALIDASBODEGA[LOTE],INVENTARIOBODEGA[[#This Row],[LOTE]]),"-")</f>
        <v>0</v>
      </c>
      <c r="F185" s="8">
        <f>INVENTARIOBODEGA[[#This Row],[ENTRADAS]]-INVENTARIOBODEGA[[#This Row],[SALIDAS ]]</f>
        <v>4</v>
      </c>
      <c r="G185" s="1"/>
      <c r="H185" s="9">
        <f>INVENTARIOBODEGA[[#This Row],[COSTO UNITARIO]]*INVENTARIOBODEGA[[#This Row],[STOCK ACTUAL]]</f>
        <v>0</v>
      </c>
    </row>
    <row r="186" spans="1:8" ht="16" x14ac:dyDescent="0.2">
      <c r="A186" s="2" t="s">
        <v>233</v>
      </c>
      <c r="B186" s="2" t="s">
        <v>284</v>
      </c>
      <c r="C186" s="1" t="s">
        <v>147</v>
      </c>
      <c r="D186" s="8">
        <f>IFERROR(SUMIFS(ENTRADASBODEGA[CANTIDAD],ENTRADASBODEGA[DESCRIPCIÓN],INVENTARIOBODEGA[[#This Row],[DESCRIPCIÓN]],ENTRADASBODEGA[LOTE],INVENTARIOBODEGA[[#This Row],[LOTE]]),"-")</f>
        <v>7</v>
      </c>
      <c r="E186" s="8">
        <f>IFERROR(SUMIFS(SALIDASBODEGA[CANTIDAD],SALIDASBODEGA[DESCRIPCIÓN],INVENTARIOBODEGA[[#This Row],[DESCRIPCIÓN]],SALIDASBODEGA[LOTE],INVENTARIOBODEGA[[#This Row],[LOTE]]),"-")</f>
        <v>2</v>
      </c>
      <c r="F186" s="8">
        <f>INVENTARIOBODEGA[[#This Row],[ENTRADAS]]-INVENTARIOBODEGA[[#This Row],[SALIDAS ]]</f>
        <v>5</v>
      </c>
      <c r="G186" s="1"/>
      <c r="H186" s="9">
        <f>INVENTARIOBODEGA[[#This Row],[COSTO UNITARIO]]*INVENTARIOBODEGA[[#This Row],[STOCK ACTUAL]]</f>
        <v>0</v>
      </c>
    </row>
    <row r="187" spans="1:8" ht="16" x14ac:dyDescent="0.2">
      <c r="A187" s="2" t="s">
        <v>234</v>
      </c>
      <c r="B187" s="2" t="s">
        <v>107</v>
      </c>
      <c r="C187" s="1" t="s">
        <v>147</v>
      </c>
      <c r="D187" s="8">
        <f>IFERROR(SUMIFS(ENTRADASBODEGA[CANTIDAD],ENTRADASBODEGA[DESCRIPCIÓN],INVENTARIOBODEGA[[#This Row],[DESCRIPCIÓN]],ENTRADASBODEGA[LOTE],INVENTARIOBODEGA[[#This Row],[LOTE]]),"-")</f>
        <v>4</v>
      </c>
      <c r="E187" s="8">
        <f>IFERROR(SUMIFS(SALIDASBODEGA[CANTIDAD],SALIDASBODEGA[DESCRIPCIÓN],INVENTARIOBODEGA[[#This Row],[DESCRIPCIÓN]],SALIDASBODEGA[LOTE],INVENTARIOBODEGA[[#This Row],[LOTE]]),"-")</f>
        <v>2</v>
      </c>
      <c r="F187" s="8">
        <f>INVENTARIOBODEGA[[#This Row],[ENTRADAS]]-INVENTARIOBODEGA[[#This Row],[SALIDAS ]]</f>
        <v>2</v>
      </c>
      <c r="G187" s="1"/>
      <c r="H187" s="9">
        <f>INVENTARIOBODEGA[[#This Row],[COSTO UNITARIO]]*INVENTARIOBODEGA[[#This Row],[STOCK ACTUAL]]</f>
        <v>0</v>
      </c>
    </row>
    <row r="188" spans="1:8" ht="16" x14ac:dyDescent="0.2">
      <c r="A188" s="2" t="s">
        <v>589</v>
      </c>
      <c r="B188" s="2" t="s">
        <v>557</v>
      </c>
      <c r="C188" s="1" t="s">
        <v>147</v>
      </c>
      <c r="D188" s="8">
        <f>IFERROR(SUMIFS(ENTRADASBODEGA[CANTIDAD],ENTRADASBODEGA[DESCRIPCIÓN],INVENTARIOBODEGA[[#This Row],[DESCRIPCIÓN]],ENTRADASBODEGA[LOTE],INVENTARIOBODEGA[[#This Row],[LOTE]]),"-")</f>
        <v>10</v>
      </c>
      <c r="E188" s="8">
        <f>IFERROR(SUMIFS(SALIDASBODEGA[CANTIDAD],SALIDASBODEGA[DESCRIPCIÓN],INVENTARIOBODEGA[[#This Row],[DESCRIPCIÓN]],SALIDASBODEGA[LOTE],INVENTARIOBODEGA[[#This Row],[LOTE]]),"-")</f>
        <v>0</v>
      </c>
      <c r="F188" s="8">
        <f>INVENTARIOBODEGA[[#This Row],[ENTRADAS]]-INVENTARIOBODEGA[[#This Row],[SALIDAS ]]</f>
        <v>10</v>
      </c>
      <c r="G188" s="1"/>
      <c r="H188" s="9">
        <f>INVENTARIOBODEGA[[#This Row],[COSTO UNITARIO]]*INVENTARIOBODEGA[[#This Row],[STOCK ACTUAL]]</f>
        <v>0</v>
      </c>
    </row>
  </sheetData>
  <mergeCells count="2">
    <mergeCell ref="K5:L16"/>
    <mergeCell ref="A1:H1"/>
  </mergeCells>
  <phoneticPr fontId="6" type="noConversion"/>
  <conditionalFormatting sqref="F4:F188">
    <cfRule type="iconSet" priority="3">
      <iconSet iconSet="3Symbols">
        <cfvo type="percent" val="0"/>
        <cfvo type="percent" val="10"/>
        <cfvo type="percent" val="50"/>
      </iconSet>
    </cfRule>
  </conditionalFormatting>
  <pageMargins left="0.7" right="0.7" top="0.75" bottom="0.75" header="0.3" footer="0.3"/>
  <ignoredErrors>
    <ignoredError sqref="A4 A188 A6:A9 A11:A52 A54:A84" calculatedColumn="1"/>
  </ignoredErrors>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233E-5F47-47B6-9C6D-E7603DC37850}">
  <sheetPr>
    <tabColor theme="9" tint="0.39997558519241921"/>
  </sheetPr>
  <dimension ref="A1:J302"/>
  <sheetViews>
    <sheetView topLeftCell="A174" zoomScale="91" zoomScaleNormal="91" workbookViewId="0">
      <selection activeCell="F189" sqref="F189"/>
    </sheetView>
  </sheetViews>
  <sheetFormatPr baseColWidth="10" defaultRowHeight="15" x14ac:dyDescent="0.2"/>
  <cols>
    <col min="1" max="1" width="20.6640625" customWidth="1"/>
    <col min="2" max="2" width="15.6640625" customWidth="1"/>
    <col min="3" max="3" width="19.33203125" customWidth="1"/>
    <col min="4" max="4" width="60.83203125" customWidth="1"/>
    <col min="5" max="5" width="14.33203125" customWidth="1"/>
    <col min="6" max="6" width="14.5" customWidth="1"/>
    <col min="7" max="7" width="19" customWidth="1"/>
    <col min="8" max="8" width="2.6640625" customWidth="1"/>
    <col min="9" max="9" width="8.6640625" customWidth="1"/>
  </cols>
  <sheetData>
    <row r="1" spans="1:10" ht="35.25" customHeight="1" x14ac:dyDescent="0.2">
      <c r="A1" s="24" t="s">
        <v>390</v>
      </c>
      <c r="B1" s="24"/>
      <c r="C1" s="24"/>
      <c r="D1" s="24"/>
      <c r="E1" s="24"/>
      <c r="F1" s="24"/>
    </row>
    <row r="3" spans="1:10" ht="47.25" customHeight="1" x14ac:dyDescent="0.2">
      <c r="A3" s="1" t="s">
        <v>7</v>
      </c>
      <c r="B3" s="1" t="s">
        <v>8</v>
      </c>
      <c r="C3" s="1" t="s">
        <v>9</v>
      </c>
      <c r="D3" s="1" t="s">
        <v>0</v>
      </c>
      <c r="E3" s="1" t="s">
        <v>1</v>
      </c>
      <c r="F3" s="1" t="s">
        <v>10</v>
      </c>
    </row>
    <row r="4" spans="1:10" x14ac:dyDescent="0.2">
      <c r="A4" s="4">
        <v>1</v>
      </c>
      <c r="B4" s="5">
        <v>45916</v>
      </c>
      <c r="C4" s="7" t="s">
        <v>210</v>
      </c>
      <c r="D4" s="7" t="str">
        <f>IFERROR(VLOOKUP(ENTRADASBODEGA[[#This Row],[CÓDIGO PRODUCTO]],INVENTARIOBODEGA[],2,FALSE),"-")</f>
        <v>ACOPLE DE MATRIMONIO 9H</v>
      </c>
      <c r="E4" s="7" t="str">
        <f>IFERROR(VLOOKUP(ENTRADASBODEGA[[#This Row],[CÓDIGO PRODUCTO]],INVENTARIOBODEGA[],3,FALSE),"-")</f>
        <v>LT013</v>
      </c>
      <c r="F4" s="3">
        <v>3</v>
      </c>
    </row>
    <row r="5" spans="1:10" ht="15" customHeight="1" x14ac:dyDescent="0.2">
      <c r="A5" s="4">
        <v>2</v>
      </c>
      <c r="B5" s="5">
        <v>45916</v>
      </c>
      <c r="C5" s="7" t="s">
        <v>237</v>
      </c>
      <c r="D5" s="7" t="str">
        <f>IFERROR(VLOOKUP(ENTRADASBODEGA[[#This Row],[CÓDIGO PRODUCTO]],INVENTARIOBODEGA[],2,FALSE),"-")</f>
        <v>ARAÑAS 440</v>
      </c>
      <c r="E5" s="7" t="str">
        <f>IFERROR(VLOOKUP(ENTRADASBODEGA[[#This Row],[CÓDIGO PRODUCTO]],INVENTARIOBODEGA[],3,FALSE),"-")</f>
        <v>LT024</v>
      </c>
      <c r="F5" s="3">
        <v>20</v>
      </c>
      <c r="I5" s="25" t="s">
        <v>478</v>
      </c>
      <c r="J5" s="25"/>
    </row>
    <row r="6" spans="1:10" x14ac:dyDescent="0.2">
      <c r="A6" s="4">
        <v>3</v>
      </c>
      <c r="B6" s="5">
        <v>45916</v>
      </c>
      <c r="C6" s="7" t="s">
        <v>250</v>
      </c>
      <c r="D6" s="7" t="str">
        <f>IFERROR(VLOOKUP(ENTRADASBODEGA[[#This Row],[CÓDIGO PRODUCTO]],INVENTARIOBODEGA[],2,FALSE),"-")</f>
        <v>BOMBA DE ACEITE MYCOM B</v>
      </c>
      <c r="E6" s="7" t="str">
        <f>IFERROR(VLOOKUP(ENTRADASBODEGA[[#This Row],[CÓDIGO PRODUCTO]],INVENTARIOBODEGA[],3,FALSE),"-")</f>
        <v>LT025</v>
      </c>
      <c r="F6" s="3">
        <v>2</v>
      </c>
      <c r="I6" s="25"/>
      <c r="J6" s="25"/>
    </row>
    <row r="7" spans="1:10" x14ac:dyDescent="0.2">
      <c r="A7" s="4">
        <v>4</v>
      </c>
      <c r="B7" s="5">
        <v>45916</v>
      </c>
      <c r="C7" s="7" t="s">
        <v>275</v>
      </c>
      <c r="D7" s="7" t="str">
        <f>IFERROR(VLOOKUP(ENTRADASBODEGA[[#This Row],[CÓDIGO PRODUCTO]],INVENTARIOBODEGA[],2,FALSE),"-")</f>
        <v>BOMBA DE VACÍO 24CFM NUEVO</v>
      </c>
      <c r="E7" s="7" t="str">
        <f>IFERROR(VLOOKUP(ENTRADASBODEGA[[#This Row],[CÓDIGO PRODUCTO]],INVENTARIOBODEGA[],3,FALSE),"-")</f>
        <v>LT025</v>
      </c>
      <c r="F7" s="3">
        <v>1</v>
      </c>
      <c r="I7" s="25"/>
      <c r="J7" s="25"/>
    </row>
    <row r="8" spans="1:10" x14ac:dyDescent="0.2">
      <c r="A8" s="4">
        <v>5</v>
      </c>
      <c r="B8" s="5">
        <v>45916</v>
      </c>
      <c r="C8" s="7" t="s">
        <v>229</v>
      </c>
      <c r="D8" s="7" t="str">
        <f>IFERROR(VLOOKUP(ENTRADASBODEGA[[#This Row],[CÓDIGO PRODUCTO]],INVENTARIOBODEGA[],2,FALSE),"-")</f>
        <v>BRAZO DE BIELA 440 CON CHAPA</v>
      </c>
      <c r="E8" s="7" t="str">
        <f>IFERROR(VLOOKUP(ENTRADASBODEGA[[#This Row],[CÓDIGO PRODUCTO]],INVENTARIOBODEGA[],3,FALSE),"-")</f>
        <v>LT017</v>
      </c>
      <c r="F8" s="3">
        <v>17</v>
      </c>
      <c r="I8" s="25"/>
      <c r="J8" s="25"/>
    </row>
    <row r="9" spans="1:10" x14ac:dyDescent="0.2">
      <c r="A9" s="4">
        <v>6</v>
      </c>
      <c r="B9" s="5">
        <v>45916</v>
      </c>
      <c r="C9" s="7" t="s">
        <v>228</v>
      </c>
      <c r="D9" s="7" t="str">
        <f>IFERROR(VLOOKUP(ENTRADASBODEGA[[#This Row],[CÓDIGO PRODUCTO]],INVENTARIOBODEGA[],2,FALSE),"-")</f>
        <v>BRAZO DE BIELA 440 SIN CHAPA</v>
      </c>
      <c r="E9" s="7" t="str">
        <f>IFERROR(VLOOKUP(ENTRADASBODEGA[[#This Row],[CÓDIGO PRODUCTO]],INVENTARIOBODEGA[],3,FALSE),"-")</f>
        <v>LT017</v>
      </c>
      <c r="F9" s="3">
        <v>13</v>
      </c>
      <c r="I9" s="25"/>
      <c r="J9" s="25"/>
    </row>
    <row r="10" spans="1:10" x14ac:dyDescent="0.2">
      <c r="A10" s="4">
        <v>7</v>
      </c>
      <c r="B10" s="5">
        <v>45916</v>
      </c>
      <c r="C10" s="7" t="s">
        <v>227</v>
      </c>
      <c r="D10" s="7" t="str">
        <f>IFERROR(VLOOKUP(ENTRADASBODEGA[[#This Row],[CÓDIGO PRODUCTO]],INVENTARIOBODEGA[],2,FALSE),"-")</f>
        <v>BRAZO DE BIELA 450</v>
      </c>
      <c r="E10" s="7" t="str">
        <f>IFERROR(VLOOKUP(ENTRADASBODEGA[[#This Row],[CÓDIGO PRODUCTO]],INVENTARIOBODEGA[],3,FALSE),"-")</f>
        <v>LT017</v>
      </c>
      <c r="F10" s="3">
        <v>15</v>
      </c>
    </row>
    <row r="11" spans="1:10" x14ac:dyDescent="0.2">
      <c r="A11" s="4">
        <v>8</v>
      </c>
      <c r="B11" s="5">
        <v>45916</v>
      </c>
      <c r="C11" s="7" t="s">
        <v>215</v>
      </c>
      <c r="D11" s="7" t="str">
        <f>IFERROR(VLOOKUP(ENTRADASBODEGA[[#This Row],[CÓDIGO PRODUCTO]],INVENTARIOBODEGA[],2,FALSE),"-")</f>
        <v>BRAZO DE BIELA MYCOM B</v>
      </c>
      <c r="E11" s="7" t="str">
        <f>IFERROR(VLOOKUP(ENTRADASBODEGA[[#This Row],[CÓDIGO PRODUCTO]],INVENTARIOBODEGA[],3,FALSE),"-")</f>
        <v>LT017</v>
      </c>
      <c r="F11" s="3">
        <v>9</v>
      </c>
    </row>
    <row r="12" spans="1:10" x14ac:dyDescent="0.2">
      <c r="A12" s="4">
        <v>9</v>
      </c>
      <c r="B12" s="5">
        <v>45916</v>
      </c>
      <c r="C12" s="7" t="s">
        <v>168</v>
      </c>
      <c r="D12" s="7" t="str">
        <f>IFERROR(VLOOKUP(ENTRADASBODEGA[[#This Row],[CÓDIGO PRODUCTO]],INVENTARIOBODEGA[],2,FALSE),"-")</f>
        <v>BUJES DE BIELA</v>
      </c>
      <c r="E12" s="7" t="str">
        <f>IFERROR(VLOOKUP(ENTRADASBODEGA[[#This Row],[CÓDIGO PRODUCTO]],INVENTARIOBODEGA[],3,FALSE),"-")</f>
        <v>LT007</v>
      </c>
      <c r="F12" s="3">
        <v>108</v>
      </c>
    </row>
    <row r="13" spans="1:10" x14ac:dyDescent="0.2">
      <c r="A13" s="4">
        <v>10</v>
      </c>
      <c r="B13" s="5">
        <v>45916</v>
      </c>
      <c r="C13" s="7" t="s">
        <v>165</v>
      </c>
      <c r="D13" s="7" t="str">
        <f>IFERROR(VLOOKUP(ENTRADASBODEGA[[#This Row],[CÓDIGO PRODUCTO]],INVENTARIOBODEGA[],2,FALSE),"-")</f>
        <v>BULÓN DE PISTÓN</v>
      </c>
      <c r="E13" s="7" t="str">
        <f>IFERROR(VLOOKUP(ENTRADASBODEGA[[#This Row],[CÓDIGO PRODUCTO]],INVENTARIOBODEGA[],3,FALSE),"-")</f>
        <v>LT006</v>
      </c>
      <c r="F13" s="3">
        <v>10</v>
      </c>
    </row>
    <row r="14" spans="1:10" x14ac:dyDescent="0.2">
      <c r="A14" s="4">
        <v>11</v>
      </c>
      <c r="B14" s="5">
        <v>45916</v>
      </c>
      <c r="C14" s="7" t="s">
        <v>211</v>
      </c>
      <c r="D14" s="7" t="str">
        <f>IFERROR(VLOOKUP(ENTRADASBODEGA[[#This Row],[CÓDIGO PRODUCTO]],INVENTARIOBODEGA[],2,FALSE),"-")</f>
        <v>BUSH INLET XJF 120</v>
      </c>
      <c r="E14" s="7" t="str">
        <f>IFERROR(VLOOKUP(ENTRADASBODEGA[[#This Row],[CÓDIGO PRODUCTO]],INVENTARIOBODEGA[],3,FALSE),"-")</f>
        <v>LT014</v>
      </c>
      <c r="F14" s="3">
        <v>1</v>
      </c>
    </row>
    <row r="15" spans="1:10" x14ac:dyDescent="0.2">
      <c r="A15" s="4">
        <v>12</v>
      </c>
      <c r="B15" s="5">
        <v>45916</v>
      </c>
      <c r="C15" s="7" t="s">
        <v>243</v>
      </c>
      <c r="D15" s="7" t="str">
        <f>IFERROR(VLOOKUP(ENTRADASBODEGA[[#This Row],[CÓDIGO PRODUCTO]],INVENTARIOBODEGA[],2,FALSE),"-")</f>
        <v>CHAPAS 440 0.15"</v>
      </c>
      <c r="E15" s="7" t="str">
        <f>IFERROR(VLOOKUP(ENTRADASBODEGA[[#This Row],[CÓDIGO PRODUCTO]],INVENTARIOBODEGA[],3,FALSE),"-")</f>
        <v>LT019</v>
      </c>
      <c r="F15" s="3">
        <v>43</v>
      </c>
    </row>
    <row r="16" spans="1:10" x14ac:dyDescent="0.2">
      <c r="A16" s="4">
        <v>13</v>
      </c>
      <c r="B16" s="5">
        <v>45916</v>
      </c>
      <c r="C16" s="7" t="s">
        <v>242</v>
      </c>
      <c r="D16" s="7" t="str">
        <f>IFERROR(VLOOKUP(ENTRADASBODEGA[[#This Row],[CÓDIGO PRODUCTO]],INVENTARIOBODEGA[],2,FALSE),"-")</f>
        <v>CHAPAS 440 0.30"</v>
      </c>
      <c r="E16" s="7" t="str">
        <f>IFERROR(VLOOKUP(ENTRADASBODEGA[[#This Row],[CÓDIGO PRODUCTO]],INVENTARIOBODEGA[],3,FALSE),"-")</f>
        <v>LT019</v>
      </c>
      <c r="F16" s="3">
        <v>91</v>
      </c>
    </row>
    <row r="17" spans="1:6" x14ac:dyDescent="0.2">
      <c r="A17" s="4">
        <v>14</v>
      </c>
      <c r="B17" s="5">
        <v>45916</v>
      </c>
      <c r="C17" s="7" t="s">
        <v>240</v>
      </c>
      <c r="D17" s="7" t="str">
        <f>IFERROR(VLOOKUP(ENTRADASBODEGA[[#This Row],[CÓDIGO PRODUCTO]],INVENTARIOBODEGA[],2,FALSE),"-")</f>
        <v>CHAPAS 440 STD</v>
      </c>
      <c r="E17" s="7" t="str">
        <f>IFERROR(VLOOKUP(ENTRADASBODEGA[[#This Row],[CÓDIGO PRODUCTO]],INVENTARIOBODEGA[],3,FALSE),"-")</f>
        <v>LT019</v>
      </c>
      <c r="F17" s="3">
        <v>42</v>
      </c>
    </row>
    <row r="18" spans="1:6" x14ac:dyDescent="0.2">
      <c r="A18" s="4">
        <v>15</v>
      </c>
      <c r="B18" s="5">
        <v>45916</v>
      </c>
      <c r="C18" s="7" t="s">
        <v>245</v>
      </c>
      <c r="D18" s="7" t="str">
        <f>IFERROR(VLOOKUP(ENTRADASBODEGA[[#This Row],[CÓDIGO PRODUCTO]],INVENTARIOBODEGA[],2,FALSE),"-")</f>
        <v>CHAPAS 450 0.15"</v>
      </c>
      <c r="E18" s="7" t="str">
        <f>IFERROR(VLOOKUP(ENTRADASBODEGA[[#This Row],[CÓDIGO PRODUCTO]],INVENTARIOBODEGA[],3,FALSE),"-")</f>
        <v>LT019</v>
      </c>
      <c r="F18" s="3">
        <v>115</v>
      </c>
    </row>
    <row r="19" spans="1:6" x14ac:dyDescent="0.2">
      <c r="A19" s="4">
        <v>16</v>
      </c>
      <c r="B19" s="5">
        <v>45916</v>
      </c>
      <c r="C19" s="7" t="s">
        <v>244</v>
      </c>
      <c r="D19" s="7" t="str">
        <f>IFERROR(VLOOKUP(ENTRADASBODEGA[[#This Row],[CÓDIGO PRODUCTO]],INVENTARIOBODEGA[],2,FALSE),"-")</f>
        <v>CHAPAS 450 0.30"</v>
      </c>
      <c r="E19" s="7" t="str">
        <f>IFERROR(VLOOKUP(ENTRADASBODEGA[[#This Row],[CÓDIGO PRODUCTO]],INVENTARIOBODEGA[],3,FALSE),"-")</f>
        <v>LT019</v>
      </c>
      <c r="F19" s="3">
        <v>129</v>
      </c>
    </row>
    <row r="20" spans="1:6" x14ac:dyDescent="0.2">
      <c r="A20" s="4">
        <v>17</v>
      </c>
      <c r="B20" s="5">
        <v>45916</v>
      </c>
      <c r="C20" s="7" t="s">
        <v>241</v>
      </c>
      <c r="D20" s="7" t="str">
        <f>IFERROR(VLOOKUP(ENTRADASBODEGA[[#This Row],[CÓDIGO PRODUCTO]],INVENTARIOBODEGA[],2,FALSE),"-")</f>
        <v>CHAPAS 450 STD</v>
      </c>
      <c r="E20" s="7" t="str">
        <f>IFERROR(VLOOKUP(ENTRADASBODEGA[[#This Row],[CÓDIGO PRODUCTO]],INVENTARIOBODEGA[],3,FALSE),"-")</f>
        <v>LT019</v>
      </c>
      <c r="F20" s="3">
        <v>119</v>
      </c>
    </row>
    <row r="21" spans="1:6" x14ac:dyDescent="0.2">
      <c r="A21" s="4">
        <v>18</v>
      </c>
      <c r="B21" s="5">
        <v>45916</v>
      </c>
      <c r="C21" s="7" t="s">
        <v>219</v>
      </c>
      <c r="D21" s="7" t="str">
        <f>IFERROR(VLOOKUP(ENTRADASBODEGA[[#This Row],[CÓDIGO PRODUCTO]],INVENTARIOBODEGA[],2,FALSE),"-")</f>
        <v>CHAPAS MYCOM A</v>
      </c>
      <c r="E21" s="7" t="str">
        <f>IFERROR(VLOOKUP(ENTRADASBODEGA[[#This Row],[CÓDIGO PRODUCTO]],INVENTARIOBODEGA[],3,FALSE),"-")</f>
        <v>LT019</v>
      </c>
      <c r="F21" s="3">
        <v>16</v>
      </c>
    </row>
    <row r="22" spans="1:6" x14ac:dyDescent="0.2">
      <c r="A22" s="4">
        <v>19</v>
      </c>
      <c r="B22" s="5">
        <v>45916</v>
      </c>
      <c r="C22" s="7" t="s">
        <v>220</v>
      </c>
      <c r="D22" s="7" t="str">
        <f>IFERROR(VLOOKUP(ENTRADASBODEGA[[#This Row],[CÓDIGO PRODUCTO]],INVENTARIOBODEGA[],2,FALSE),"-")</f>
        <v>CHAPAS MYCOM B</v>
      </c>
      <c r="E22" s="7" t="str">
        <f>IFERROR(VLOOKUP(ENTRADASBODEGA[[#This Row],[CÓDIGO PRODUCTO]],INVENTARIOBODEGA[],3,FALSE),"-")</f>
        <v>LT019</v>
      </c>
      <c r="F22" s="3">
        <v>18</v>
      </c>
    </row>
    <row r="23" spans="1:6" x14ac:dyDescent="0.2">
      <c r="A23" s="4">
        <v>20</v>
      </c>
      <c r="B23" s="5">
        <v>45916</v>
      </c>
      <c r="C23" s="7" t="s">
        <v>269</v>
      </c>
      <c r="D23" s="7" t="str">
        <f>IFERROR(VLOOKUP(ENTRADASBODEGA[[#This Row],[CÓDIGO PRODUCTO]],INVENTARIOBODEGA[],2,FALSE),"-")</f>
        <v xml:space="preserve">CIGÜEÑAL 440 </v>
      </c>
      <c r="E23" s="7" t="str">
        <f>IFERROR(VLOOKUP(ENTRADASBODEGA[[#This Row],[CÓDIGO PRODUCTO]],INVENTARIOBODEGA[],3,FALSE),"-")</f>
        <v>LT030</v>
      </c>
      <c r="F23" s="3">
        <v>4</v>
      </c>
    </row>
    <row r="24" spans="1:6" x14ac:dyDescent="0.2">
      <c r="A24" s="4">
        <v>21</v>
      </c>
      <c r="B24" s="5">
        <v>45916</v>
      </c>
      <c r="C24" s="7" t="s">
        <v>271</v>
      </c>
      <c r="D24" s="7" t="str">
        <f>IFERROR(VLOOKUP(ENTRADASBODEGA[[#This Row],[CÓDIGO PRODUCTO]],INVENTARIOBODEGA[],2,FALSE),"-")</f>
        <v>CIGÜEÑAL 446 NUEVO</v>
      </c>
      <c r="E24" s="7" t="str">
        <f>IFERROR(VLOOKUP(ENTRADASBODEGA[[#This Row],[CÓDIGO PRODUCTO]],INVENTARIOBODEGA[],3,FALSE),"-")</f>
        <v>LT030</v>
      </c>
      <c r="F24" s="3">
        <v>4</v>
      </c>
    </row>
    <row r="25" spans="1:6" x14ac:dyDescent="0.2">
      <c r="A25" s="4">
        <v>22</v>
      </c>
      <c r="B25" s="5">
        <v>45916</v>
      </c>
      <c r="C25" s="7" t="s">
        <v>272</v>
      </c>
      <c r="D25" s="7" t="str">
        <f>IFERROR(VLOOKUP(ENTRADASBODEGA[[#This Row],[CÓDIGO PRODUCTO]],INVENTARIOBODEGA[],2,FALSE),"-")</f>
        <v>CIGÜEÑAL 446 USADO</v>
      </c>
      <c r="E25" s="7" t="str">
        <f>IFERROR(VLOOKUP(ENTRADASBODEGA[[#This Row],[CÓDIGO PRODUCTO]],INVENTARIOBODEGA[],3,FALSE),"-")</f>
        <v>LT030</v>
      </c>
      <c r="F25" s="3">
        <v>1</v>
      </c>
    </row>
    <row r="26" spans="1:6" x14ac:dyDescent="0.2">
      <c r="A26" s="4">
        <v>23</v>
      </c>
      <c r="B26" s="5">
        <v>45916</v>
      </c>
      <c r="C26" s="7" t="s">
        <v>270</v>
      </c>
      <c r="D26" s="7" t="str">
        <f>IFERROR(VLOOKUP(ENTRADASBODEGA[[#This Row],[CÓDIGO PRODUCTO]],INVENTARIOBODEGA[],2,FALSE),"-")</f>
        <v>CIGÜEÑAL 448</v>
      </c>
      <c r="E26" s="7" t="str">
        <f>IFERROR(VLOOKUP(ENTRADASBODEGA[[#This Row],[CÓDIGO PRODUCTO]],INVENTARIOBODEGA[],3,FALSE),"-")</f>
        <v>LT030</v>
      </c>
      <c r="F26" s="3">
        <v>2</v>
      </c>
    </row>
    <row r="27" spans="1:6" x14ac:dyDescent="0.2">
      <c r="A27" s="4">
        <v>24</v>
      </c>
      <c r="B27" s="5">
        <v>45916</v>
      </c>
      <c r="C27" s="7" t="s">
        <v>273</v>
      </c>
      <c r="D27" s="7" t="str">
        <f>IFERROR(VLOOKUP(ENTRADASBODEGA[[#This Row],[CÓDIGO PRODUCTO]],INVENTARIOBODEGA[],2,FALSE),"-")</f>
        <v>CIGÜEÑAL 454</v>
      </c>
      <c r="E27" s="7" t="str">
        <f>IFERROR(VLOOKUP(ENTRADASBODEGA[[#This Row],[CÓDIGO PRODUCTO]],INVENTARIOBODEGA[],3,FALSE),"-")</f>
        <v>LT030</v>
      </c>
      <c r="F27" s="3">
        <v>1</v>
      </c>
    </row>
    <row r="28" spans="1:6" x14ac:dyDescent="0.2">
      <c r="A28" s="4">
        <v>25</v>
      </c>
      <c r="B28" s="5">
        <v>45916</v>
      </c>
      <c r="C28" s="7" t="s">
        <v>274</v>
      </c>
      <c r="D28" s="7" t="str">
        <f>IFERROR(VLOOKUP(ENTRADASBODEGA[[#This Row],[CÓDIGO PRODUCTO]],INVENTARIOBODEGA[],2,FALSE),"-")</f>
        <v>CIGÜEÑAL 458</v>
      </c>
      <c r="E28" s="7" t="str">
        <f>IFERROR(VLOOKUP(ENTRADASBODEGA[[#This Row],[CÓDIGO PRODUCTO]],INVENTARIOBODEGA[],3,FALSE),"-")</f>
        <v>LT030</v>
      </c>
      <c r="F28" s="3">
        <v>3</v>
      </c>
    </row>
    <row r="29" spans="1:6" x14ac:dyDescent="0.2">
      <c r="A29" s="4">
        <v>26</v>
      </c>
      <c r="B29" s="5">
        <v>45916</v>
      </c>
      <c r="C29" s="7" t="s">
        <v>222</v>
      </c>
      <c r="D29" s="7" t="str">
        <f>IFERROR(VLOOKUP(ENTRADASBODEGA[[#This Row],[CÓDIGO PRODUCTO]],INVENTARIOBODEGA[],2,FALSE),"-")</f>
        <v>CILINDRO 440 - KT072</v>
      </c>
      <c r="E29" s="7" t="str">
        <f>IFERROR(VLOOKUP(ENTRADASBODEGA[[#This Row],[CÓDIGO PRODUCTO]],INVENTARIOBODEGA[],3,FALSE),"-")</f>
        <v>LT016</v>
      </c>
      <c r="F29" s="3">
        <v>29</v>
      </c>
    </row>
    <row r="30" spans="1:6" x14ac:dyDescent="0.2">
      <c r="A30" s="4">
        <v>27</v>
      </c>
      <c r="B30" s="5">
        <v>45916</v>
      </c>
      <c r="C30" s="7" t="s">
        <v>221</v>
      </c>
      <c r="D30" s="7" t="str">
        <f>IFERROR(VLOOKUP(ENTRADASBODEGA[[#This Row],[CÓDIGO PRODUCTO]],INVENTARIOBODEGA[],2,FALSE),"-")</f>
        <v>CILINDRO 450 XL - KT476</v>
      </c>
      <c r="E30" s="7" t="str">
        <f>IFERROR(VLOOKUP(ENTRADASBODEGA[[#This Row],[CÓDIGO PRODUCTO]],INVENTARIOBODEGA[],3,FALSE),"-")</f>
        <v>LT016</v>
      </c>
      <c r="F30" s="3">
        <v>79</v>
      </c>
    </row>
    <row r="31" spans="1:6" x14ac:dyDescent="0.2">
      <c r="A31" s="4">
        <v>28</v>
      </c>
      <c r="B31" s="5">
        <v>45916</v>
      </c>
      <c r="C31" s="7" t="s">
        <v>214</v>
      </c>
      <c r="D31" s="7" t="str">
        <f>IFERROR(VLOOKUP(ENTRADASBODEGA[[#This Row],[CÓDIGO PRODUCTO]],INVENTARIOBODEGA[],2,FALSE),"-")</f>
        <v xml:space="preserve">CILINDRO MYCOM B </v>
      </c>
      <c r="E31" s="7" t="str">
        <f>IFERROR(VLOOKUP(ENTRADASBODEGA[[#This Row],[CÓDIGO PRODUCTO]],INVENTARIOBODEGA[],3,FALSE),"-")</f>
        <v>LT016</v>
      </c>
      <c r="F31" s="3">
        <v>13</v>
      </c>
    </row>
    <row r="32" spans="1:6" x14ac:dyDescent="0.2">
      <c r="A32" s="4">
        <v>29</v>
      </c>
      <c r="B32" s="5">
        <v>45916</v>
      </c>
      <c r="C32" s="7" t="s">
        <v>255</v>
      </c>
      <c r="D32" s="7" t="str">
        <f>IFERROR(VLOOKUP(ENTRADASBODEGA[[#This Row],[CÓDIGO PRODUCTO]],INVENTARIOBODEGA[],2,FALSE),"-")</f>
        <v>CONNECTING ROD BUSHING MYCOM B</v>
      </c>
      <c r="E32" s="7" t="str">
        <f>IFERROR(VLOOKUP(ENTRADASBODEGA[[#This Row],[CÓDIGO PRODUCTO]],INVENTARIOBODEGA[],3,FALSE),"-")</f>
        <v>LT026</v>
      </c>
      <c r="F32" s="3">
        <v>10</v>
      </c>
    </row>
    <row r="33" spans="1:6" x14ac:dyDescent="0.2">
      <c r="A33" s="4">
        <v>30</v>
      </c>
      <c r="B33" s="5">
        <v>45916</v>
      </c>
      <c r="C33" s="7" t="s">
        <v>213</v>
      </c>
      <c r="D33" s="7" t="str">
        <f>IFERROR(VLOOKUP(ENTRADASBODEGA[[#This Row],[CÓDIGO PRODUCTO]],INVENTARIOBODEGA[],2,FALSE),"-")</f>
        <v>EMPAQUE BITZER 8591</v>
      </c>
      <c r="E33" s="7" t="str">
        <f>IFERROR(VLOOKUP(ENTRADASBODEGA[[#This Row],[CÓDIGO PRODUCTO]],INVENTARIOBODEGA[],3,FALSE),"-")</f>
        <v>LT015</v>
      </c>
      <c r="F33" s="3">
        <v>7</v>
      </c>
    </row>
    <row r="34" spans="1:6" x14ac:dyDescent="0.2">
      <c r="A34" s="4">
        <v>31</v>
      </c>
      <c r="B34" s="5">
        <v>45916</v>
      </c>
      <c r="C34" s="7" t="s">
        <v>248</v>
      </c>
      <c r="D34" s="7" t="str">
        <f>IFERROR(VLOOKUP(ENTRADASBODEGA[[#This Row],[CÓDIGO PRODUCTO]],INVENTARIOBODEGA[],2,FALSE),"-")</f>
        <v xml:space="preserve">EMPAQUE DE CILINDRO MYCOM B </v>
      </c>
      <c r="E34" s="7" t="str">
        <f>IFERROR(VLOOKUP(ENTRADASBODEGA[[#This Row],[CÓDIGO PRODUCTO]],INVENTARIOBODEGA[],3,FALSE),"-")</f>
        <v>LT016</v>
      </c>
      <c r="F34" s="3">
        <v>10</v>
      </c>
    </row>
    <row r="35" spans="1:6" x14ac:dyDescent="0.2">
      <c r="A35" s="4">
        <v>32</v>
      </c>
      <c r="B35" s="5">
        <v>45916</v>
      </c>
      <c r="C35" s="7" t="s">
        <v>260</v>
      </c>
      <c r="D35" s="7" t="str">
        <f>IFERROR(VLOOKUP(ENTRADASBODEGA[[#This Row],[CÓDIGO PRODUCTO]],INVENTARIOBODEGA[],2,FALSE),"-")</f>
        <v>EMPAQUE MYCOM B</v>
      </c>
      <c r="E35" s="7" t="str">
        <f>IFERROR(VLOOKUP(ENTRADASBODEGA[[#This Row],[CÓDIGO PRODUCTO]],INVENTARIOBODEGA[],3,FALSE),"-")</f>
        <v>LT016</v>
      </c>
      <c r="F35" s="3">
        <v>2</v>
      </c>
    </row>
    <row r="36" spans="1:6" x14ac:dyDescent="0.2">
      <c r="A36" s="4">
        <v>33</v>
      </c>
      <c r="B36" s="5">
        <v>45916</v>
      </c>
      <c r="C36" s="7" t="s">
        <v>268</v>
      </c>
      <c r="D36" s="7" t="str">
        <f>IFERROR(VLOOKUP(ENTRADASBODEGA[[#This Row],[CÓDIGO PRODUCTO]],INVENTARIOBODEGA[],2,FALSE),"-")</f>
        <v>ENFRIADOR DE ACEITE USADO EN BUEN ESTADO</v>
      </c>
      <c r="E36" s="7" t="str">
        <f>IFERROR(VLOOKUP(ENTRADASBODEGA[[#This Row],[CÓDIGO PRODUCTO]],INVENTARIOBODEGA[],3,FALSE),"-")</f>
        <v>LT029</v>
      </c>
      <c r="F36" s="3">
        <v>3</v>
      </c>
    </row>
    <row r="37" spans="1:6" x14ac:dyDescent="0.2">
      <c r="A37" s="4">
        <v>34</v>
      </c>
      <c r="B37" s="5">
        <v>45916</v>
      </c>
      <c r="C37" s="7" t="s">
        <v>194</v>
      </c>
      <c r="D37" s="7" t="str">
        <f>IFERROR(VLOOKUP(ENTRADASBODEGA[[#This Row],[CÓDIGO PRODUCTO]],INVENTARIOBODEGA[],2,FALSE),"-")</f>
        <v>FILTRO COLADOR 1 ¼ HANSEN</v>
      </c>
      <c r="E37" s="7" t="str">
        <f>IFERROR(VLOOKUP(ENTRADASBODEGA[[#This Row],[CÓDIGO PRODUCTO]],INVENTARIOBODEGA[],3,FALSE),"-")</f>
        <v>LT008</v>
      </c>
      <c r="F37" s="3">
        <v>2</v>
      </c>
    </row>
    <row r="38" spans="1:6" x14ac:dyDescent="0.2">
      <c r="A38" s="4">
        <v>35</v>
      </c>
      <c r="B38" s="5">
        <v>45916</v>
      </c>
      <c r="C38" s="7" t="s">
        <v>188</v>
      </c>
      <c r="D38" s="7" t="str">
        <f>IFERROR(VLOOKUP(ENTRADASBODEGA[[#This Row],[CÓDIGO PRODUCTO]],INVENTARIOBODEGA[],2,FALSE),"-")</f>
        <v>FILTRO COLAESCENTE MEDIDAS 86.5 x 24 x 18CM FRICK</v>
      </c>
      <c r="E38" s="7" t="str">
        <f>IFERROR(VLOOKUP(ENTRADASBODEGA[[#This Row],[CÓDIGO PRODUCTO]],INVENTARIOBODEGA[],3,FALSE),"-")</f>
        <v>LT008</v>
      </c>
      <c r="F38" s="3">
        <v>5</v>
      </c>
    </row>
    <row r="39" spans="1:6" x14ac:dyDescent="0.2">
      <c r="A39" s="4">
        <v>36</v>
      </c>
      <c r="B39" s="5">
        <v>45916</v>
      </c>
      <c r="C39" s="7" t="s">
        <v>230</v>
      </c>
      <c r="D39" s="7" t="str">
        <f>IFERROR(VLOOKUP(ENTRADASBODEGA[[#This Row],[CÓDIGO PRODUCTO]],INVENTARIOBODEGA[],2,FALSE),"-")</f>
        <v>FILTRO DE ACEITE 1448C</v>
      </c>
      <c r="E39" s="7" t="str">
        <f>IFERROR(VLOOKUP(ENTRADASBODEGA[[#This Row],[CÓDIGO PRODUCTO]],INVENTARIOBODEGA[],3,FALSE),"-")</f>
        <v>LT008</v>
      </c>
      <c r="F39" s="3">
        <v>60</v>
      </c>
    </row>
    <row r="40" spans="1:6" x14ac:dyDescent="0.2">
      <c r="A40" s="4">
        <v>37</v>
      </c>
      <c r="B40" s="5">
        <v>45916</v>
      </c>
      <c r="C40" s="7" t="s">
        <v>193</v>
      </c>
      <c r="D40" s="7" t="str">
        <f>IFERROR(VLOOKUP(ENTRADASBODEGA[[#This Row],[CÓDIGO PRODUCTO]],INVENTARIOBODEGA[],2,FALSE),"-")</f>
        <v>FILTRO DE ACEITE BITZER 180 HP - MODELO [362105-02]</v>
      </c>
      <c r="E40" s="7" t="str">
        <f>IFERROR(VLOOKUP(ENTRADASBODEGA[[#This Row],[CÓDIGO PRODUCTO]],INVENTARIOBODEGA[],3,FALSE),"-")</f>
        <v>LT008</v>
      </c>
      <c r="F40" s="3">
        <v>2</v>
      </c>
    </row>
    <row r="41" spans="1:6" x14ac:dyDescent="0.2">
      <c r="A41" s="4">
        <v>38</v>
      </c>
      <c r="B41" s="5">
        <v>45916</v>
      </c>
      <c r="C41" s="7" t="s">
        <v>197</v>
      </c>
      <c r="D41" s="7" t="str">
        <f>IFERROR(VLOOKUP(ENTRADASBODEGA[[#This Row],[CÓDIGO PRODUCTO]],INVENTARIOBODEGA[],2,FALSE),"-")</f>
        <v>FILTRO DE ACEITE FRICK 950A0020 H02</v>
      </c>
      <c r="E41" s="7" t="str">
        <f>IFERROR(VLOOKUP(ENTRADASBODEGA[[#This Row],[CÓDIGO PRODUCTO]],INVENTARIOBODEGA[],3,FALSE),"-")</f>
        <v>LT008</v>
      </c>
      <c r="F41" s="3">
        <v>4</v>
      </c>
    </row>
    <row r="42" spans="1:6" x14ac:dyDescent="0.2">
      <c r="A42" s="4">
        <v>39</v>
      </c>
      <c r="B42" s="5">
        <v>45916</v>
      </c>
      <c r="C42" s="7" t="s">
        <v>189</v>
      </c>
      <c r="D42" s="7" t="str">
        <f>IFERROR(VLOOKUP(ENTRADASBODEGA[[#This Row],[CÓDIGO PRODUCTO]],INVENTARIOBODEGA[],2,FALSE),"-")</f>
        <v>FILTRO DE ACEITE FRICK RDB 100</v>
      </c>
      <c r="E42" s="7" t="str">
        <f>IFERROR(VLOOKUP(ENTRADASBODEGA[[#This Row],[CÓDIGO PRODUCTO]],INVENTARIOBODEGA[],3,FALSE),"-")</f>
        <v>LT008</v>
      </c>
      <c r="F42" s="3">
        <v>7</v>
      </c>
    </row>
    <row r="43" spans="1:6" x14ac:dyDescent="0.2">
      <c r="A43" s="4">
        <v>40</v>
      </c>
      <c r="B43" s="5">
        <v>45916</v>
      </c>
      <c r="C43" s="7" t="s">
        <v>201</v>
      </c>
      <c r="D43" s="7" t="str">
        <f>IFERROR(VLOOKUP(ENTRADASBODEGA[[#This Row],[CÓDIGO PRODUCTO]],INVENTARIOBODEGA[],2,FALSE),"-")</f>
        <v>FILTRO DE ACEITE MYCOM 200</v>
      </c>
      <c r="E43" s="7" t="str">
        <f>IFERROR(VLOOKUP(ENTRADASBODEGA[[#This Row],[CÓDIGO PRODUCTO]],INVENTARIOBODEGA[],3,FALSE),"-")</f>
        <v>LT008</v>
      </c>
      <c r="F43" s="3">
        <v>3</v>
      </c>
    </row>
    <row r="44" spans="1:6" x14ac:dyDescent="0.2">
      <c r="A44" s="4">
        <v>41</v>
      </c>
      <c r="B44" s="5">
        <v>45916</v>
      </c>
      <c r="C44" s="7" t="s">
        <v>195</v>
      </c>
      <c r="D44" s="7" t="str">
        <f>IFERROR(VLOOKUP(ENTRADASBODEGA[[#This Row],[CÓDIGO PRODUCTO]],INVENTARIOBODEGA[],2,FALSE),"-")</f>
        <v>FILTRO DE PIEDRA D48</v>
      </c>
      <c r="E44" s="7" t="str">
        <f>IFERROR(VLOOKUP(ENTRADASBODEGA[[#This Row],[CÓDIGO PRODUCTO]],INVENTARIOBODEGA[],3,FALSE),"-")</f>
        <v>LT008</v>
      </c>
      <c r="F44" s="3">
        <v>14</v>
      </c>
    </row>
    <row r="45" spans="1:6" x14ac:dyDescent="0.2">
      <c r="A45" s="4">
        <v>42</v>
      </c>
      <c r="B45" s="5">
        <v>45916</v>
      </c>
      <c r="C45" s="7" t="s">
        <v>199</v>
      </c>
      <c r="D45" s="7" t="str">
        <f>IFERROR(VLOOKUP(ENTRADASBODEGA[[#This Row],[CÓDIGO PRODUCTO]],INVENTARIOBODEGA[],2,FALSE),"-")</f>
        <v>FILTRO DE SUCCIÓN PARA COMPRESOR BITZER XF48</v>
      </c>
      <c r="E45" s="7" t="str">
        <f>IFERROR(VLOOKUP(ENTRADASBODEGA[[#This Row],[CÓDIGO PRODUCTO]],INVENTARIOBODEGA[],3,FALSE),"-")</f>
        <v>LT008</v>
      </c>
      <c r="F45" s="3">
        <v>6</v>
      </c>
    </row>
    <row r="46" spans="1:6" x14ac:dyDescent="0.2">
      <c r="A46" s="4">
        <v>43</v>
      </c>
      <c r="B46" s="5">
        <v>45916</v>
      </c>
      <c r="C46" s="7" t="s">
        <v>198</v>
      </c>
      <c r="D46" s="7" t="str">
        <f>IFERROR(VLOOKUP(ENTRADASBODEGA[[#This Row],[CÓDIGO PRODUCTO]],INVENTARIOBODEGA[],2,FALSE),"-")</f>
        <v>FILTRO GEA 030-00613C-010R</v>
      </c>
      <c r="E46" s="7" t="str">
        <f>IFERROR(VLOOKUP(ENTRADASBODEGA[[#This Row],[CÓDIGO PRODUCTO]],INVENTARIOBODEGA[],3,FALSE),"-")</f>
        <v>LT008</v>
      </c>
      <c r="F46" s="3">
        <v>3</v>
      </c>
    </row>
    <row r="47" spans="1:6" x14ac:dyDescent="0.2">
      <c r="A47" s="4">
        <v>44</v>
      </c>
      <c r="B47" s="5">
        <v>45916</v>
      </c>
      <c r="C47" s="7" t="s">
        <v>196</v>
      </c>
      <c r="D47" s="7" t="str">
        <f>IFERROR(VLOOKUP(ENTRADASBODEGA[[#This Row],[CÓDIGO PRODUCTO]],INVENTARIOBODEGA[],2,FALSE),"-")</f>
        <v>FILTRO MYCON DE ACEITE 50850301</v>
      </c>
      <c r="E47" s="7" t="str">
        <f>IFERROR(VLOOKUP(ENTRADASBODEGA[[#This Row],[CÓDIGO PRODUCTO]],INVENTARIOBODEGA[],3,FALSE),"-")</f>
        <v>LT008</v>
      </c>
      <c r="F47" s="3">
        <v>2</v>
      </c>
    </row>
    <row r="48" spans="1:6" x14ac:dyDescent="0.2">
      <c r="A48" s="4">
        <v>45</v>
      </c>
      <c r="B48" s="5">
        <v>45916</v>
      </c>
      <c r="C48" s="7" t="s">
        <v>192</v>
      </c>
      <c r="D48" s="7" t="str">
        <f>IFERROR(VLOOKUP(ENTRADASBODEGA[[#This Row],[CÓDIGO PRODUCTO]],INVENTARIOBODEGA[],2,FALSE),"-")</f>
        <v>FILTRO SABROE DE TORNILLO SAB 163</v>
      </c>
      <c r="E48" s="7" t="str">
        <f>IFERROR(VLOOKUP(ENTRADASBODEGA[[#This Row],[CÓDIGO PRODUCTO]],INVENTARIOBODEGA[],3,FALSE),"-")</f>
        <v>LT008</v>
      </c>
      <c r="F48" s="3">
        <v>11</v>
      </c>
    </row>
    <row r="49" spans="1:6" x14ac:dyDescent="0.2">
      <c r="A49" s="4">
        <v>46</v>
      </c>
      <c r="B49" s="5">
        <v>45916</v>
      </c>
      <c r="C49" s="7" t="s">
        <v>200</v>
      </c>
      <c r="D49" s="7" t="str">
        <f>IFERROR(VLOOKUP(ENTRADASBODEGA[[#This Row],[CÓDIGO PRODUCTO]],INVENTARIOBODEGA[],2,FALSE),"-")</f>
        <v>FILTRO SABROE SMC100</v>
      </c>
      <c r="E49" s="7" t="str">
        <f>IFERROR(VLOOKUP(ENTRADASBODEGA[[#This Row],[CÓDIGO PRODUCTO]],INVENTARIOBODEGA[],3,FALSE),"-")</f>
        <v>LT008</v>
      </c>
      <c r="F49" s="3">
        <v>2</v>
      </c>
    </row>
    <row r="50" spans="1:6" x14ac:dyDescent="0.2">
      <c r="A50" s="4">
        <v>47</v>
      </c>
      <c r="B50" s="5">
        <v>45916</v>
      </c>
      <c r="C50" s="7" t="s">
        <v>159</v>
      </c>
      <c r="D50" s="7" t="str">
        <f>IFERROR(VLOOKUP(ENTRADASBODEGA[[#This Row],[CÓDIGO PRODUCTO]],INVENTARIOBODEGA[],2,FALSE),"-")</f>
        <v>HEATER 120 VOLTIOS</v>
      </c>
      <c r="E50" s="7" t="str">
        <f>IFERROR(VLOOKUP(ENTRADASBODEGA[[#This Row],[CÓDIGO PRODUCTO]],INVENTARIOBODEGA[],3,FALSE),"-")</f>
        <v>LT004</v>
      </c>
      <c r="F50" s="3">
        <v>1</v>
      </c>
    </row>
    <row r="51" spans="1:6" x14ac:dyDescent="0.2">
      <c r="A51" s="4">
        <v>48</v>
      </c>
      <c r="B51" s="5">
        <v>45916</v>
      </c>
      <c r="C51" s="7" t="s">
        <v>160</v>
      </c>
      <c r="D51" s="7" t="str">
        <f>IFERROR(VLOOKUP(ENTRADASBODEGA[[#This Row],[CÓDIGO PRODUCTO]],INVENTARIOBODEGA[],2,FALSE),"-")</f>
        <v>HEATER 230 V 2069K</v>
      </c>
      <c r="E51" s="7" t="str">
        <f>IFERROR(VLOOKUP(ENTRADASBODEGA[[#This Row],[CÓDIGO PRODUCTO]],INVENTARIOBODEGA[],3,FALSE),"-")</f>
        <v>LT004</v>
      </c>
      <c r="F51" s="3">
        <v>10</v>
      </c>
    </row>
    <row r="52" spans="1:6" x14ac:dyDescent="0.2">
      <c r="A52" s="4">
        <v>49</v>
      </c>
      <c r="B52" s="5">
        <v>45916</v>
      </c>
      <c r="C52" s="7" t="s">
        <v>231</v>
      </c>
      <c r="D52" s="7" t="str">
        <f>IFERROR(VLOOKUP(ENTRADASBODEGA[[#This Row],[CÓDIGO PRODUCTO]],INVENTARIOBODEGA[],2,FALSE),"-")</f>
        <v>JUEGO DE ANILLOS 31989M/31989N</v>
      </c>
      <c r="E52" s="7" t="str">
        <f>IFERROR(VLOOKUP(ENTRADASBODEGA[[#This Row],[CÓDIGO PRODUCTO]],INVENTARIOBODEGA[],3,FALSE),"-")</f>
        <v>LT021</v>
      </c>
      <c r="F52" s="3">
        <v>145</v>
      </c>
    </row>
    <row r="53" spans="1:6" x14ac:dyDescent="0.2">
      <c r="A53" s="4">
        <v>50</v>
      </c>
      <c r="B53" s="5">
        <v>45916</v>
      </c>
      <c r="C53" s="7" t="s">
        <v>257</v>
      </c>
      <c r="D53" s="7" t="str">
        <f>IFERROR(VLOOKUP(ENTRADASBODEGA[[#This Row],[CÓDIGO PRODUCTO]],INVENTARIOBODEGA[],2,FALSE),"-")</f>
        <v>KIT DE EMPAQUE BITZER TORNILLO 125 HP</v>
      </c>
      <c r="E53" s="7" t="str">
        <f>IFERROR(VLOOKUP(ENTRADASBODEGA[[#This Row],[CÓDIGO PRODUCTO]],INVENTARIOBODEGA[],3,FALSE),"-")</f>
        <v>LT009</v>
      </c>
      <c r="F53" s="3">
        <v>6</v>
      </c>
    </row>
    <row r="54" spans="1:6" x14ac:dyDescent="0.2">
      <c r="A54" s="4">
        <v>51</v>
      </c>
      <c r="B54" s="5">
        <v>45916</v>
      </c>
      <c r="C54" s="7" t="s">
        <v>259</v>
      </c>
      <c r="D54" s="7" t="str">
        <f>IFERROR(VLOOKUP(ENTRADASBODEGA[[#This Row],[CÓDIGO PRODUCTO]],INVENTARIOBODEGA[],2,FALSE),"-")</f>
        <v>KIT DE EMPAQUE BITZER TORNILLO 50 HP</v>
      </c>
      <c r="E54" s="7" t="str">
        <f>IFERROR(VLOOKUP(ENTRADASBODEGA[[#This Row],[CÓDIGO PRODUCTO]],INVENTARIOBODEGA[],3,FALSE),"-")</f>
        <v>LT009</v>
      </c>
      <c r="F54" s="3">
        <v>5</v>
      </c>
    </row>
    <row r="55" spans="1:6" x14ac:dyDescent="0.2">
      <c r="A55" s="4">
        <v>52</v>
      </c>
      <c r="B55" s="5">
        <v>45916</v>
      </c>
      <c r="C55" s="7" t="s">
        <v>258</v>
      </c>
      <c r="D55" s="7" t="str">
        <f>IFERROR(VLOOKUP(ENTRADASBODEGA[[#This Row],[CÓDIGO PRODUCTO]],INVENTARIOBODEGA[],2,FALSE),"-")</f>
        <v>KIT DE EMPAQUE BITZER TORNILLO 75 HP</v>
      </c>
      <c r="E55" s="7" t="str">
        <f>IFERROR(VLOOKUP(ENTRADASBODEGA[[#This Row],[CÓDIGO PRODUCTO]],INVENTARIOBODEGA[],3,FALSE),"-")</f>
        <v>LT009</v>
      </c>
      <c r="F55" s="3">
        <v>3</v>
      </c>
    </row>
    <row r="56" spans="1:6" x14ac:dyDescent="0.2">
      <c r="A56" s="4">
        <v>53</v>
      </c>
      <c r="B56" s="5">
        <v>45916</v>
      </c>
      <c r="C56" s="7" t="s">
        <v>232</v>
      </c>
      <c r="D56" s="7" t="str">
        <f>IFERROR(VLOOKUP(ENTRADASBODEGA[[#This Row],[CÓDIGO PRODUCTO]],INVENTARIOBODEGA[],2,FALSE),"-")</f>
        <v>KIT DE EMPAQUE KT049</v>
      </c>
      <c r="E56" s="7" t="str">
        <f>IFERROR(VLOOKUP(ENTRADASBODEGA[[#This Row],[CÓDIGO PRODUCTO]],INVENTARIOBODEGA[],3,FALSE),"-")</f>
        <v>LT009</v>
      </c>
      <c r="F56" s="3">
        <v>9</v>
      </c>
    </row>
    <row r="57" spans="1:6" x14ac:dyDescent="0.2">
      <c r="A57" s="4">
        <v>54</v>
      </c>
      <c r="B57" s="5">
        <v>45916</v>
      </c>
      <c r="C57" s="7" t="s">
        <v>202</v>
      </c>
      <c r="D57" s="7" t="str">
        <f>IFERROR(VLOOKUP(ENTRADASBODEGA[[#This Row],[CÓDIGO PRODUCTO]],INVENTARIOBODEGA[],2,FALSE),"-")</f>
        <v>KIT DE REPARACIÓN PARA SOLENOIDE ICFE20 -  DANFOSS</v>
      </c>
      <c r="E57" s="7" t="str">
        <f>IFERROR(VLOOKUP(ENTRADASBODEGA[[#This Row],[CÓDIGO PRODUCTO]],INVENTARIOBODEGA[],3,FALSE),"-")</f>
        <v>LT009</v>
      </c>
      <c r="F57" s="3">
        <v>1</v>
      </c>
    </row>
    <row r="58" spans="1:6" x14ac:dyDescent="0.2">
      <c r="A58" s="4">
        <v>55</v>
      </c>
      <c r="B58" s="5">
        <v>45916</v>
      </c>
      <c r="C58" s="7" t="s">
        <v>204</v>
      </c>
      <c r="D58" s="7" t="str">
        <f>IFERROR(VLOOKUP(ENTRADASBODEGA[[#This Row],[CÓDIGO PRODUCTO]],INVENTARIOBODEGA[],2,FALSE),"-")</f>
        <v>KIT DE SELLO MECÁNCICO FRICK XJ 120</v>
      </c>
      <c r="E58" s="7" t="str">
        <f>IFERROR(VLOOKUP(ENTRADASBODEGA[[#This Row],[CÓDIGO PRODUCTO]],INVENTARIOBODEGA[],3,FALSE),"-")</f>
        <v>LT009</v>
      </c>
      <c r="F58" s="3">
        <v>1</v>
      </c>
    </row>
    <row r="59" spans="1:6" x14ac:dyDescent="0.2">
      <c r="A59" s="4">
        <v>56</v>
      </c>
      <c r="B59" s="5">
        <v>45916</v>
      </c>
      <c r="C59" s="7" t="s">
        <v>203</v>
      </c>
      <c r="D59" s="7" t="str">
        <f>IFERROR(VLOOKUP(ENTRADASBODEGA[[#This Row],[CÓDIGO PRODUCTO]],INVENTARIOBODEGA[],2,FALSE),"-")</f>
        <v>KIT DE SELLO MECÁNICO FRICK XJ 151</v>
      </c>
      <c r="E59" s="7" t="str">
        <f>IFERROR(VLOOKUP(ENTRADASBODEGA[[#This Row],[CÓDIGO PRODUCTO]],INVENTARIOBODEGA[],3,FALSE),"-")</f>
        <v>LT009</v>
      </c>
      <c r="F59" s="3">
        <v>1</v>
      </c>
    </row>
    <row r="60" spans="1:6" x14ac:dyDescent="0.2">
      <c r="A60" s="4">
        <v>57</v>
      </c>
      <c r="B60" s="5">
        <v>45916</v>
      </c>
      <c r="C60" s="7" t="s">
        <v>289</v>
      </c>
      <c r="D60" s="7" t="str">
        <f>IFERROR(VLOOKUP(ENTRADASBODEGA[[#This Row],[CÓDIGO PRODUCTO]],INVENTARIOBODEGA[],2,FALSE),"-")</f>
        <v>KIT TOOL PARA FRICK XTF151 - 534B1126</v>
      </c>
      <c r="E60" s="7" t="str">
        <f>IFERROR(VLOOKUP(ENTRADASBODEGA[[#This Row],[CÓDIGO PRODUCTO]],INVENTARIOBODEGA[],3,FALSE),"-")</f>
        <v>LT009</v>
      </c>
      <c r="F60" s="3">
        <v>1</v>
      </c>
    </row>
    <row r="61" spans="1:6" x14ac:dyDescent="0.2">
      <c r="A61" s="4">
        <v>58</v>
      </c>
      <c r="B61" s="5">
        <v>45916</v>
      </c>
      <c r="C61" s="7" t="s">
        <v>287</v>
      </c>
      <c r="D61" s="7" t="str">
        <f>IFERROR(VLOOKUP(ENTRADASBODEGA[[#This Row],[CÓDIGO PRODUCTO]],INVENTARIOBODEGA[],2,FALSE),"-")</f>
        <v>MAIN BEARING MYCOM A</v>
      </c>
      <c r="E61" s="7" t="str">
        <f>IFERROR(VLOOKUP(ENTRADASBODEGA[[#This Row],[CÓDIGO PRODUCTO]],INVENTARIOBODEGA[],3,FALSE),"-")</f>
        <v>LT031</v>
      </c>
      <c r="F61" s="3">
        <v>1</v>
      </c>
    </row>
    <row r="62" spans="1:6" x14ac:dyDescent="0.2">
      <c r="A62" s="4">
        <v>59</v>
      </c>
      <c r="B62" s="5">
        <v>45916</v>
      </c>
      <c r="C62" s="7" t="s">
        <v>288</v>
      </c>
      <c r="D62" s="7" t="str">
        <f>IFERROR(VLOOKUP(ENTRADASBODEGA[[#This Row],[CÓDIGO PRODUCTO]],INVENTARIOBODEGA[],2,FALSE),"-")</f>
        <v>MAIN BEARING MYCOM VLD200 TORNILLO</v>
      </c>
      <c r="E62" s="7" t="str">
        <f>IFERROR(VLOOKUP(ENTRADASBODEGA[[#This Row],[CÓDIGO PRODUCTO]],INVENTARIOBODEGA[],3,FALSE),"-")</f>
        <v>LT031</v>
      </c>
      <c r="F62" s="3">
        <v>4</v>
      </c>
    </row>
    <row r="63" spans="1:6" x14ac:dyDescent="0.2">
      <c r="A63" s="4">
        <v>60</v>
      </c>
      <c r="B63" s="5">
        <v>45916</v>
      </c>
      <c r="C63" s="7" t="s">
        <v>225</v>
      </c>
      <c r="D63" s="7" t="str">
        <f>IFERROR(VLOOKUP(ENTRADASBODEGA[[#This Row],[CÓDIGO PRODUCTO]],INVENTARIOBODEGA[],2,FALSE),"-")</f>
        <v>MANÓMETRO 2 ½"  0-150PSI</v>
      </c>
      <c r="E63" s="7" t="str">
        <f>IFERROR(VLOOKUP(ENTRADASBODEGA[[#This Row],[CÓDIGO PRODUCTO]],INVENTARIOBODEGA[],3,FALSE),"-")</f>
        <v>LT020</v>
      </c>
      <c r="F63" s="3">
        <v>172</v>
      </c>
    </row>
    <row r="64" spans="1:6" x14ac:dyDescent="0.2">
      <c r="A64" s="4">
        <v>61</v>
      </c>
      <c r="B64" s="5">
        <v>45916</v>
      </c>
      <c r="C64" s="7" t="s">
        <v>223</v>
      </c>
      <c r="D64" s="7" t="str">
        <f>IFERROR(VLOOKUP(ENTRADASBODEGA[[#This Row],[CÓDIGO PRODUCTO]],INVENTARIOBODEGA[],2,FALSE),"-")</f>
        <v>MANÓMETRO 4" 0-150PSI</v>
      </c>
      <c r="E64" s="7" t="str">
        <f>IFERROR(VLOOKUP(ENTRADASBODEGA[[#This Row],[CÓDIGO PRODUCTO]],INVENTARIOBODEGA[],3,FALSE),"-")</f>
        <v>LT020</v>
      </c>
      <c r="F64" s="3">
        <v>69</v>
      </c>
    </row>
    <row r="65" spans="1:6" x14ac:dyDescent="0.2">
      <c r="A65" s="4">
        <v>62</v>
      </c>
      <c r="B65" s="5">
        <v>45916</v>
      </c>
      <c r="C65" s="7" t="s">
        <v>224</v>
      </c>
      <c r="D65" s="7" t="str">
        <f>IFERROR(VLOOKUP(ENTRADASBODEGA[[#This Row],[CÓDIGO PRODUCTO]],INVENTARIOBODEGA[],2,FALSE),"-")</f>
        <v>MANÓMETRO 4" 0-300PSI</v>
      </c>
      <c r="E65" s="7" t="str">
        <f>IFERROR(VLOOKUP(ENTRADASBODEGA[[#This Row],[CÓDIGO PRODUCTO]],INVENTARIOBODEGA[],3,FALSE),"-")</f>
        <v>LT020</v>
      </c>
      <c r="F65" s="3">
        <v>28</v>
      </c>
    </row>
    <row r="66" spans="1:6" x14ac:dyDescent="0.2">
      <c r="A66" s="4">
        <v>63</v>
      </c>
      <c r="B66" s="5">
        <v>45916</v>
      </c>
      <c r="C66" s="7" t="s">
        <v>226</v>
      </c>
      <c r="D66" s="7" t="str">
        <f>IFERROR(VLOOKUP(ENTRADASBODEGA[[#This Row],[CÓDIGO PRODUCTO]],INVENTARIOBODEGA[],2,FALSE),"-")</f>
        <v>MANÓMETRO DE 2½ " 0-300PSI</v>
      </c>
      <c r="E66" s="7" t="str">
        <f>IFERROR(VLOOKUP(ENTRADASBODEGA[[#This Row],[CÓDIGO PRODUCTO]],INVENTARIOBODEGA[],3,FALSE),"-")</f>
        <v>LT020</v>
      </c>
      <c r="F66" s="3">
        <v>96</v>
      </c>
    </row>
    <row r="67" spans="1:6" x14ac:dyDescent="0.2">
      <c r="A67" s="4">
        <v>64</v>
      </c>
      <c r="B67" s="5">
        <v>45916</v>
      </c>
      <c r="C67" s="7" t="s">
        <v>208</v>
      </c>
      <c r="D67" s="7" t="str">
        <f>IFERROR(VLOOKUP(ENTRADASBODEGA[[#This Row],[CÓDIGO PRODUCTO]],INVENTARIOBODEGA[],2,FALSE),"-")</f>
        <v>MICROSWITCH PARKER</v>
      </c>
      <c r="E67" s="7" t="str">
        <f>IFERROR(VLOOKUP(ENTRADASBODEGA[[#This Row],[CÓDIGO PRODUCTO]],INVENTARIOBODEGA[],3,FALSE),"-")</f>
        <v>LT011</v>
      </c>
      <c r="F67" s="3">
        <v>5</v>
      </c>
    </row>
    <row r="68" spans="1:6" x14ac:dyDescent="0.2">
      <c r="A68" s="4">
        <v>65</v>
      </c>
      <c r="B68" s="5">
        <v>45916</v>
      </c>
      <c r="C68" s="7" t="s">
        <v>187</v>
      </c>
      <c r="D68" s="7" t="str">
        <f>IFERROR(VLOOKUP(ENTRADASBODEGA[[#This Row],[CÓDIGO PRODUCTO]],INVENTARIOBODEGA[],2,FALSE),"-")</f>
        <v>MÓDULO PARA VÁLVULA SOLENOIDE ICFE25-40 DANFOSS</v>
      </c>
      <c r="E68" s="7" t="str">
        <f>IFERROR(VLOOKUP(ENTRADASBODEGA[[#This Row],[CÓDIGO PRODUCTO]],INVENTARIOBODEGA[],3,FALSE),"-")</f>
        <v>LT005</v>
      </c>
      <c r="F68" s="3">
        <v>2</v>
      </c>
    </row>
    <row r="69" spans="1:6" x14ac:dyDescent="0.2">
      <c r="A69" s="4">
        <v>66</v>
      </c>
      <c r="B69" s="5">
        <v>45916</v>
      </c>
      <c r="C69" s="7" t="s">
        <v>294</v>
      </c>
      <c r="D69" s="7" t="str">
        <f>IFERROR(VLOOKUP(ENTRADASBODEGA[[#This Row],[CÓDIGO PRODUCTO]],INVENTARIOBODEGA[],2,FALSE),"-")</f>
        <v xml:space="preserve">MYCOM B 8 CILINDROS EMPAQUE </v>
      </c>
      <c r="E69" s="7" t="str">
        <f>IFERROR(VLOOKUP(ENTRADASBODEGA[[#This Row],[CÓDIGO PRODUCTO]],INVENTARIOBODEGA[],3,FALSE),"-")</f>
        <v>LT016</v>
      </c>
      <c r="F69" s="3">
        <v>1</v>
      </c>
    </row>
    <row r="70" spans="1:6" x14ac:dyDescent="0.2">
      <c r="A70" s="4">
        <v>67</v>
      </c>
      <c r="B70" s="5">
        <v>45916</v>
      </c>
      <c r="C70" s="7" t="s">
        <v>246</v>
      </c>
      <c r="D70" s="7" t="str">
        <f>IFERROR(VLOOKUP(ENTRADASBODEGA[[#This Row],[CÓDIGO PRODUCTO]],INVENTARIOBODEGA[],2,FALSE),"-")</f>
        <v xml:space="preserve">ORING DE CILINDRO </v>
      </c>
      <c r="E70" s="7" t="str">
        <f>IFERROR(VLOOKUP(ENTRADASBODEGA[[#This Row],[CÓDIGO PRODUCTO]],INVENTARIOBODEGA[],3,FALSE),"-")</f>
        <v>LT016</v>
      </c>
      <c r="F70" s="3">
        <v>66</v>
      </c>
    </row>
    <row r="71" spans="1:6" x14ac:dyDescent="0.2">
      <c r="A71" s="4">
        <v>68</v>
      </c>
      <c r="B71" s="5">
        <v>45916</v>
      </c>
      <c r="C71" s="7" t="s">
        <v>286</v>
      </c>
      <c r="D71" s="7" t="str">
        <f>IFERROR(VLOOKUP(ENTRADASBODEGA[[#This Row],[CÓDIGO PRODUCTO]],INVENTARIOBODEGA[],2,FALSE),"-")</f>
        <v>PISTÓN BULÓN ANILLO KT213</v>
      </c>
      <c r="E71" s="7" t="str">
        <f>IFERROR(VLOOKUP(ENTRADASBODEGA[[#This Row],[CÓDIGO PRODUCTO]],INVENTARIOBODEGA[],3,FALSE),"-")</f>
        <v>LT006</v>
      </c>
      <c r="F71" s="3">
        <v>23</v>
      </c>
    </row>
    <row r="72" spans="1:6" x14ac:dyDescent="0.2">
      <c r="A72" s="4">
        <v>69</v>
      </c>
      <c r="B72" s="5">
        <v>45916</v>
      </c>
      <c r="C72" s="7" t="s">
        <v>166</v>
      </c>
      <c r="D72" s="7" t="str">
        <f>IFERROR(VLOOKUP(ENTRADASBODEGA[[#This Row],[CÓDIGO PRODUCTO]],INVENTARIOBODEGA[],2,FALSE),"-")</f>
        <v>PISTÓN DE CAPACIDAD NEW STYLE</v>
      </c>
      <c r="E72" s="7" t="str">
        <f>IFERROR(VLOOKUP(ENTRADASBODEGA[[#This Row],[CÓDIGO PRODUCTO]],INVENTARIOBODEGA[],3,FALSE),"-")</f>
        <v>LT006</v>
      </c>
      <c r="F72" s="3">
        <v>13</v>
      </c>
    </row>
    <row r="73" spans="1:6" x14ac:dyDescent="0.2">
      <c r="A73" s="4">
        <v>70</v>
      </c>
      <c r="B73" s="5">
        <v>45916</v>
      </c>
      <c r="C73" s="7" t="s">
        <v>167</v>
      </c>
      <c r="D73" s="7" t="str">
        <f>IFERROR(VLOOKUP(ENTRADASBODEGA[[#This Row],[CÓDIGO PRODUCTO]],INVENTARIOBODEGA[],2,FALSE),"-")</f>
        <v>PISTÓN DE CAPACIDAD OLD STYLE</v>
      </c>
      <c r="E73" s="7" t="str">
        <f>IFERROR(VLOOKUP(ENTRADASBODEGA[[#This Row],[CÓDIGO PRODUCTO]],INVENTARIOBODEGA[],3,FALSE),"-")</f>
        <v>LT006</v>
      </c>
      <c r="F73" s="3">
        <v>18</v>
      </c>
    </row>
    <row r="74" spans="1:6" x14ac:dyDescent="0.2">
      <c r="A74" s="4">
        <v>71</v>
      </c>
      <c r="B74" s="5">
        <v>45916</v>
      </c>
      <c r="C74" s="7" t="s">
        <v>216</v>
      </c>
      <c r="D74" s="7" t="str">
        <f>IFERROR(VLOOKUP(ENTRADASBODEGA[[#This Row],[CÓDIGO PRODUCTO]],INVENTARIOBODEGA[],2,FALSE),"-")</f>
        <v>PISTONES MYCOM B</v>
      </c>
      <c r="E74" s="7" t="str">
        <f>IFERROR(VLOOKUP(ENTRADASBODEGA[[#This Row],[CÓDIGO PRODUCTO]],INVENTARIOBODEGA[],3,FALSE),"-")</f>
        <v>LT006</v>
      </c>
      <c r="F74" s="3">
        <v>20</v>
      </c>
    </row>
    <row r="75" spans="1:6" x14ac:dyDescent="0.2">
      <c r="A75" s="4">
        <v>72</v>
      </c>
      <c r="B75" s="5">
        <v>45916</v>
      </c>
      <c r="C75" s="7" t="s">
        <v>291</v>
      </c>
      <c r="D75" s="7" t="str">
        <f>IFERROR(VLOOKUP(ENTRADASBODEGA[[#This Row],[CÓDIGO PRODUCTO]],INVENTARIOBODEGA[],2,FALSE),"-")</f>
        <v>PLATO DE VÁLVULA COPELAND DISCUS 30HP</v>
      </c>
      <c r="E75" s="7" t="str">
        <f>IFERROR(VLOOKUP(ENTRADASBODEGA[[#This Row],[CÓDIGO PRODUCTO]],INVENTARIOBODEGA[],3,FALSE),"-")</f>
        <v>LT005</v>
      </c>
      <c r="F75" s="3">
        <v>1</v>
      </c>
    </row>
    <row r="76" spans="1:6" x14ac:dyDescent="0.2">
      <c r="A76" s="4">
        <v>73</v>
      </c>
      <c r="B76" s="5">
        <v>45916</v>
      </c>
      <c r="C76" s="7" t="s">
        <v>239</v>
      </c>
      <c r="D76" s="7" t="str">
        <f>IFERROR(VLOOKUP(ENTRADASBODEGA[[#This Row],[CÓDIGO PRODUCTO]],INVENTARIOBODEGA[],2,FALSE),"-")</f>
        <v>PLATOS PORTA VÁLVULA 440 A32695C</v>
      </c>
      <c r="E76" s="7" t="str">
        <f>IFERROR(VLOOKUP(ENTRADASBODEGA[[#This Row],[CÓDIGO PRODUCTO]],INVENTARIOBODEGA[],3,FALSE),"-")</f>
        <v>LT005</v>
      </c>
      <c r="F76" s="3">
        <v>36</v>
      </c>
    </row>
    <row r="77" spans="1:6" x14ac:dyDescent="0.2">
      <c r="A77" s="4">
        <v>74</v>
      </c>
      <c r="B77" s="5">
        <v>45916</v>
      </c>
      <c r="C77" s="7" t="s">
        <v>236</v>
      </c>
      <c r="D77" s="7" t="str">
        <f>IFERROR(VLOOKUP(ENTRADASBODEGA[[#This Row],[CÓDIGO PRODUCTO]],INVENTARIOBODEGA[],2,FALSE),"-")</f>
        <v>PLATOS PORTA VÁLVULAS 450</v>
      </c>
      <c r="E77" s="7" t="str">
        <f>IFERROR(VLOOKUP(ENTRADASBODEGA[[#This Row],[CÓDIGO PRODUCTO]],INVENTARIOBODEGA[],3,FALSE),"-")</f>
        <v>LT005</v>
      </c>
      <c r="F77" s="3">
        <v>22</v>
      </c>
    </row>
    <row r="78" spans="1:6" x14ac:dyDescent="0.2">
      <c r="A78" s="4">
        <v>75</v>
      </c>
      <c r="B78" s="5">
        <v>45916</v>
      </c>
      <c r="C78" s="7" t="s">
        <v>265</v>
      </c>
      <c r="D78" s="7" t="str">
        <f>IFERROR(VLOOKUP(ENTRADASBODEGA[[#This Row],[CÓDIGO PRODUCTO]],INVENTARIOBODEGA[],2,FALSE),"-")</f>
        <v>PRESEOSTATO DE 0-100 PSI</v>
      </c>
      <c r="E78" s="7" t="str">
        <f>IFERROR(VLOOKUP(ENTRADASBODEGA[[#This Row],[CÓDIGO PRODUCTO]],INVENTARIOBODEGA[],3,FALSE),"-")</f>
        <v>LT028</v>
      </c>
      <c r="F78" s="3">
        <v>1</v>
      </c>
    </row>
    <row r="79" spans="1:6" x14ac:dyDescent="0.2">
      <c r="A79" s="4">
        <v>76</v>
      </c>
      <c r="B79" s="5">
        <v>45916</v>
      </c>
      <c r="C79" s="7" t="s">
        <v>264</v>
      </c>
      <c r="D79" s="7" t="str">
        <f>IFERROR(VLOOKUP(ENTRADASBODEGA[[#This Row],[CÓDIGO PRODUCTO]],INVENTARIOBODEGA[],2,FALSE),"-")</f>
        <v>PRESOSTATO DIFERENCIAL</v>
      </c>
      <c r="E79" s="7" t="str">
        <f>IFERROR(VLOOKUP(ENTRADASBODEGA[[#This Row],[CÓDIGO PRODUCTO]],INVENTARIOBODEGA[],3,FALSE),"-")</f>
        <v>LT028</v>
      </c>
      <c r="F79" s="3">
        <v>1</v>
      </c>
    </row>
    <row r="80" spans="1:6" x14ac:dyDescent="0.2">
      <c r="A80" s="4">
        <v>77</v>
      </c>
      <c r="B80" s="5">
        <v>45916</v>
      </c>
      <c r="C80" s="7" t="s">
        <v>263</v>
      </c>
      <c r="D80" s="7" t="str">
        <f>IFERROR(VLOOKUP(ENTRADASBODEGA[[#This Row],[CÓDIGO PRODUCTO]],INVENTARIOBODEGA[],2,FALSE),"-")</f>
        <v>PRESOSTATO DUAL DE ALTA Y BAJA</v>
      </c>
      <c r="E80" s="7" t="str">
        <f>IFERROR(VLOOKUP(ENTRADASBODEGA[[#This Row],[CÓDIGO PRODUCTO]],INVENTARIOBODEGA[],3,FALSE),"-")</f>
        <v>LT028</v>
      </c>
      <c r="F80" s="3">
        <v>1</v>
      </c>
    </row>
    <row r="81" spans="1:6" x14ac:dyDescent="0.2">
      <c r="A81" s="4">
        <v>78</v>
      </c>
      <c r="B81" s="5">
        <v>45916</v>
      </c>
      <c r="C81" s="7" t="s">
        <v>156</v>
      </c>
      <c r="D81" s="7" t="str">
        <f>IFERROR(VLOOKUP(ENTRADASBODEGA[[#This Row],[CÓDIGO PRODUCTO]],INVENTARIOBODEGA[],2,FALSE),"-")</f>
        <v>RESORTE DE CABEZOTE 440 - 31882A</v>
      </c>
      <c r="E81" s="7" t="str">
        <f>IFERROR(VLOOKUP(ENTRADASBODEGA[[#This Row],[CÓDIGO PRODUCTO]],INVENTARIOBODEGA[],3,FALSE),"-")</f>
        <v>LT002</v>
      </c>
      <c r="F81" s="3">
        <v>6</v>
      </c>
    </row>
    <row r="82" spans="1:6" x14ac:dyDescent="0.2">
      <c r="A82" s="4">
        <v>79</v>
      </c>
      <c r="B82" s="5">
        <v>45916</v>
      </c>
      <c r="C82" s="7" t="s">
        <v>106</v>
      </c>
      <c r="D82" s="7" t="str">
        <f>IFERROR(VLOOKUP(ENTRADASBODEGA[[#This Row],[CÓDIGO PRODUCTO]],INVENTARIOBODEGA[],2,FALSE),"-")</f>
        <v>RESORTE DE CABEZOTE 450XL-35252A</v>
      </c>
      <c r="E82" s="7" t="str">
        <f>IFERROR(VLOOKUP(ENTRADASBODEGA[[#This Row],[CÓDIGO PRODUCTO]],INVENTARIOBODEGA[],3,FALSE),"-")</f>
        <v>LT001</v>
      </c>
      <c r="F82" s="3">
        <v>22</v>
      </c>
    </row>
    <row r="83" spans="1:6" x14ac:dyDescent="0.2">
      <c r="A83" s="4">
        <v>80</v>
      </c>
      <c r="B83" s="5">
        <v>45916</v>
      </c>
      <c r="C83" s="7" t="s">
        <v>218</v>
      </c>
      <c r="D83" s="7" t="str">
        <f>IFERROR(VLOOKUP(ENTRADASBODEGA[[#This Row],[CÓDIGO PRODUCTO]],INVENTARIOBODEGA[],2,FALSE),"-")</f>
        <v>RING SET MYCOM CR 0899A</v>
      </c>
      <c r="E83" s="7" t="str">
        <f>IFERROR(VLOOKUP(ENTRADASBODEGA[[#This Row],[CÓDIGO PRODUCTO]],INVENTARIOBODEGA[],3,FALSE),"-")</f>
        <v>LT018</v>
      </c>
      <c r="F83" s="3">
        <v>33</v>
      </c>
    </row>
    <row r="84" spans="1:6" x14ac:dyDescent="0.2">
      <c r="A84" s="4">
        <v>81</v>
      </c>
      <c r="B84" s="5">
        <v>45916</v>
      </c>
      <c r="C84" s="7" t="s">
        <v>217</v>
      </c>
      <c r="D84" s="7" t="str">
        <f>IFERROR(VLOOKUP(ENTRADASBODEGA[[#This Row],[CÓDIGO PRODUCTO]],INVENTARIOBODEGA[],2,FALSE),"-")</f>
        <v>RING SET MYCOM WBHE CR 0899</v>
      </c>
      <c r="E84" s="7" t="str">
        <f>IFERROR(VLOOKUP(ENTRADASBODEGA[[#This Row],[CÓDIGO PRODUCTO]],INVENTARIOBODEGA[],3,FALSE),"-")</f>
        <v>LT018</v>
      </c>
      <c r="F84" s="3">
        <v>38</v>
      </c>
    </row>
    <row r="85" spans="1:6" x14ac:dyDescent="0.2">
      <c r="A85" s="4">
        <v>82</v>
      </c>
      <c r="B85" s="5">
        <v>45916</v>
      </c>
      <c r="C85" s="7" t="s">
        <v>235</v>
      </c>
      <c r="D85" s="7" t="str">
        <f>IFERROR(VLOOKUP(ENTRADASBODEGA[[#This Row],[CÓDIGO PRODUCTO]],INVENTARIOBODEGA[],2,FALSE),"-")</f>
        <v>RODAMIENTO 440</v>
      </c>
      <c r="E85" s="7" t="str">
        <f>IFERROR(VLOOKUP(ENTRADASBODEGA[[#This Row],[CÓDIGO PRODUCTO]],INVENTARIOBODEGA[],3,FALSE),"-")</f>
        <v>LT023</v>
      </c>
      <c r="F85" s="3">
        <v>12</v>
      </c>
    </row>
    <row r="86" spans="1:6" x14ac:dyDescent="0.2">
      <c r="A86" s="4">
        <v>83</v>
      </c>
      <c r="B86" s="5">
        <v>45916</v>
      </c>
      <c r="C86" s="7" t="s">
        <v>238</v>
      </c>
      <c r="D86" s="7" t="str">
        <f>IFERROR(VLOOKUP(ENTRADASBODEGA[[#This Row],[CÓDIGO PRODUCTO]],INVENTARIOBODEGA[],2,FALSE),"-")</f>
        <v>SAFFETY HEAD ARAÑAS 450</v>
      </c>
      <c r="E86" s="7" t="str">
        <f>IFERROR(VLOOKUP(ENTRADASBODEGA[[#This Row],[CÓDIGO PRODUCTO]],INVENTARIOBODEGA[],3,FALSE),"-")</f>
        <v>LT024</v>
      </c>
      <c r="F86" s="3">
        <v>14</v>
      </c>
    </row>
    <row r="87" spans="1:6" x14ac:dyDescent="0.2">
      <c r="A87" s="4">
        <v>84</v>
      </c>
      <c r="B87" s="5">
        <v>45916</v>
      </c>
      <c r="C87" s="7" t="s">
        <v>158</v>
      </c>
      <c r="D87" s="7" t="str">
        <f>IFERROR(VLOOKUP(ENTRADASBODEGA[[#This Row],[CÓDIGO PRODUCTO]],INVENTARIOBODEGA[],2,FALSE),"-")</f>
        <v>SELLO MECÁNICO 440 KT508</v>
      </c>
      <c r="E87" s="7" t="str">
        <f>IFERROR(VLOOKUP(ENTRADASBODEGA[[#This Row],[CÓDIGO PRODUCTO]],INVENTARIOBODEGA[],3,FALSE),"-")</f>
        <v>LT003</v>
      </c>
      <c r="F87" s="3">
        <v>8</v>
      </c>
    </row>
    <row r="88" spans="1:6" x14ac:dyDescent="0.2">
      <c r="A88" s="4">
        <v>85</v>
      </c>
      <c r="B88" s="5">
        <v>45916</v>
      </c>
      <c r="C88" s="7" t="s">
        <v>157</v>
      </c>
      <c r="D88" s="7" t="str">
        <f>IFERROR(VLOOKUP(ENTRADASBODEGA[[#This Row],[CÓDIGO PRODUCTO]],INVENTARIOBODEGA[],2,FALSE),"-")</f>
        <v>SELLO MECÁNICO 450XL KT509</v>
      </c>
      <c r="E88" s="7" t="str">
        <f>IFERROR(VLOOKUP(ENTRADASBODEGA[[#This Row],[CÓDIGO PRODUCTO]],INVENTARIOBODEGA[],3,FALSE),"-")</f>
        <v>LT003</v>
      </c>
      <c r="F88" s="3">
        <v>5</v>
      </c>
    </row>
    <row r="89" spans="1:6" x14ac:dyDescent="0.2">
      <c r="A89" s="4">
        <v>86</v>
      </c>
      <c r="B89" s="5">
        <v>45916</v>
      </c>
      <c r="C89" s="7" t="s">
        <v>254</v>
      </c>
      <c r="D89" s="7" t="str">
        <f>IFERROR(VLOOKUP(ENTRADASBODEGA[[#This Row],[CÓDIGO PRODUCTO]],INVENTARIOBODEGA[],2,FALSE),"-")</f>
        <v>SELLO MECÁNICO FRICK TSL193</v>
      </c>
      <c r="E89" s="7" t="str">
        <f>IFERROR(VLOOKUP(ENTRADASBODEGA[[#This Row],[CÓDIGO PRODUCTO]],INVENTARIOBODEGA[],3,FALSE),"-")</f>
        <v>LT003</v>
      </c>
      <c r="F89" s="3">
        <v>1</v>
      </c>
    </row>
    <row r="90" spans="1:6" x14ac:dyDescent="0.2">
      <c r="A90" s="4">
        <v>87</v>
      </c>
      <c r="B90" s="5">
        <v>45916</v>
      </c>
      <c r="C90" s="7" t="s">
        <v>256</v>
      </c>
      <c r="D90" s="7" t="str">
        <f>IFERROR(VLOOKUP(ENTRADASBODEGA[[#This Row],[CÓDIGO PRODUCTO]],INVENTARIOBODEGA[],2,FALSE),"-")</f>
        <v>SELLO MECÁNICO HANDEN - KS240</v>
      </c>
      <c r="E90" s="7" t="str">
        <f>IFERROR(VLOOKUP(ENTRADASBODEGA[[#This Row],[CÓDIGO PRODUCTO]],INVENTARIOBODEGA[],3,FALSE),"-")</f>
        <v>LT003</v>
      </c>
      <c r="F90" s="3">
        <v>3</v>
      </c>
    </row>
    <row r="91" spans="1:6" x14ac:dyDescent="0.2">
      <c r="A91" s="4">
        <v>88</v>
      </c>
      <c r="B91" s="5">
        <v>45916</v>
      </c>
      <c r="C91" s="7" t="s">
        <v>247</v>
      </c>
      <c r="D91" s="7" t="str">
        <f>IFERROR(VLOOKUP(ENTRADASBODEGA[[#This Row],[CÓDIGO PRODUCTO]],INVENTARIOBODEGA[],2,FALSE),"-")</f>
        <v>SELLO MECÁNICO MYCOM B CR03209-WBHE</v>
      </c>
      <c r="E91" s="7" t="str">
        <f>IFERROR(VLOOKUP(ENTRADASBODEGA[[#This Row],[CÓDIGO PRODUCTO]],INVENTARIOBODEGA[],3,FALSE),"-")</f>
        <v>LT003</v>
      </c>
      <c r="F91" s="3">
        <v>3</v>
      </c>
    </row>
    <row r="92" spans="1:6" x14ac:dyDescent="0.2">
      <c r="A92" s="4">
        <v>89</v>
      </c>
      <c r="B92" s="5">
        <v>45916</v>
      </c>
      <c r="C92" s="7" t="s">
        <v>261</v>
      </c>
      <c r="D92" s="7" t="str">
        <f>IFERROR(VLOOKUP(ENTRADASBODEGA[[#This Row],[CÓDIGO PRODUCTO]],INVENTARIOBODEGA[],2,FALSE),"-")</f>
        <v>STEADY MOUNT - A17311SS</v>
      </c>
      <c r="E92" s="7" t="str">
        <f>IFERROR(VLOOKUP(ENTRADASBODEGA[[#This Row],[CÓDIGO PRODUCTO]],INVENTARIOBODEGA[],3,FALSE),"-")</f>
        <v>LT027</v>
      </c>
      <c r="F92" s="3">
        <v>4</v>
      </c>
    </row>
    <row r="93" spans="1:6" x14ac:dyDescent="0.2">
      <c r="A93" s="4">
        <v>90</v>
      </c>
      <c r="B93" s="5">
        <v>45916</v>
      </c>
      <c r="C93" s="7" t="s">
        <v>190</v>
      </c>
      <c r="D93" s="7" t="str">
        <f>IFERROR(VLOOKUP(ENTRADASBODEGA[[#This Row],[CÓDIGO PRODUCTO]],INVENTARIOBODEGA[],2,FALSE),"-")</f>
        <v>SUPER FILTRO FRICK RXF 50</v>
      </c>
      <c r="E93" s="7" t="str">
        <f>IFERROR(VLOOKUP(ENTRADASBODEGA[[#This Row],[CÓDIGO PRODUCTO]],INVENTARIOBODEGA[],3,FALSE),"-")</f>
        <v>LT008</v>
      </c>
      <c r="F93" s="3">
        <v>3</v>
      </c>
    </row>
    <row r="94" spans="1:6" x14ac:dyDescent="0.2">
      <c r="A94" s="4">
        <v>91</v>
      </c>
      <c r="B94" s="5">
        <v>45916</v>
      </c>
      <c r="C94" s="7" t="s">
        <v>209</v>
      </c>
      <c r="D94" s="7" t="str">
        <f>IFERROR(VLOOKUP(ENTRADASBODEGA[[#This Row],[CÓDIGO PRODUCTO]],INVENTARIOBODEGA[],2,FALSE),"-")</f>
        <v>TANQUE FLOTADOR DE NIVEL PARKER - SIN MICROSWITCH</v>
      </c>
      <c r="E94" s="7" t="str">
        <f>IFERROR(VLOOKUP(ENTRADASBODEGA[[#This Row],[CÓDIGO PRODUCTO]],INVENTARIOBODEGA[],3,FALSE),"-")</f>
        <v>LT012</v>
      </c>
      <c r="F94" s="3">
        <v>4</v>
      </c>
    </row>
    <row r="95" spans="1:6" x14ac:dyDescent="0.2">
      <c r="A95" s="4">
        <v>92</v>
      </c>
      <c r="B95" s="5">
        <v>45916</v>
      </c>
      <c r="C95" s="7" t="s">
        <v>295</v>
      </c>
      <c r="D95" s="7" t="str">
        <f>IFERROR(VLOOKUP(ENTRADASBODEGA[[#This Row],[CÓDIGO PRODUCTO]],INVENTARIOBODEGA[],2,FALSE),"-")</f>
        <v>TECLE STON COMPLETO</v>
      </c>
      <c r="E95" s="7" t="str">
        <f>IFERROR(VLOOKUP(ENTRADASBODEGA[[#This Row],[CÓDIGO PRODUCTO]],INVENTARIOBODEGA[],3,FALSE),"-")</f>
        <v>TL032</v>
      </c>
      <c r="F95" s="3">
        <v>1</v>
      </c>
    </row>
    <row r="96" spans="1:6" x14ac:dyDescent="0.2">
      <c r="A96" s="4">
        <v>93</v>
      </c>
      <c r="B96" s="5">
        <v>45916</v>
      </c>
      <c r="C96" s="7" t="s">
        <v>266</v>
      </c>
      <c r="D96" s="7" t="str">
        <f>IFERROR(VLOOKUP(ENTRADASBODEGA[[#This Row],[CÓDIGO PRODUCTO]],INVENTARIOBODEGA[],2,FALSE),"-")</f>
        <v>VÁLVULA 3 VÍAS PARKER ½</v>
      </c>
      <c r="E96" s="7" t="str">
        <f>IFERROR(VLOOKUP(ENTRADASBODEGA[[#This Row],[CÓDIGO PRODUCTO]],INVENTARIOBODEGA[],3,FALSE),"-")</f>
        <v>LT005</v>
      </c>
      <c r="F96" s="3">
        <v>1</v>
      </c>
    </row>
    <row r="97" spans="1:6" x14ac:dyDescent="0.2">
      <c r="A97" s="4">
        <v>94</v>
      </c>
      <c r="B97" s="5">
        <v>45916</v>
      </c>
      <c r="C97" s="7" t="s">
        <v>267</v>
      </c>
      <c r="D97" s="7" t="str">
        <f>IFERROR(VLOOKUP(ENTRADASBODEGA[[#This Row],[CÓDIGO PRODUCTO]],INVENTARIOBODEGA[],2,FALSE),"-")</f>
        <v>VÁLVULA 3 VÍAS PARKER 1¼</v>
      </c>
      <c r="E97" s="7" t="str">
        <f>IFERROR(VLOOKUP(ENTRADASBODEGA[[#This Row],[CÓDIGO PRODUCTO]],INVENTARIOBODEGA[],3,FALSE),"-")</f>
        <v>LT005</v>
      </c>
      <c r="F97" s="3">
        <v>1</v>
      </c>
    </row>
    <row r="98" spans="1:6" x14ac:dyDescent="0.2">
      <c r="A98" s="4">
        <v>95</v>
      </c>
      <c r="B98" s="5">
        <v>45916</v>
      </c>
      <c r="C98" s="7" t="s">
        <v>175</v>
      </c>
      <c r="D98" s="7" t="str">
        <f>IFERROR(VLOOKUP(ENTRADASBODEGA[[#This Row],[CÓDIGO PRODUCTO]],INVENTARIOBODEGA[],2,FALSE),"-")</f>
        <v>VÁLVULA AMG PASO ANGULAR 2"</v>
      </c>
      <c r="E98" s="7" t="str">
        <f>IFERROR(VLOOKUP(ENTRADASBODEGA[[#This Row],[CÓDIGO PRODUCTO]],INVENTARIOBODEGA[],3,FALSE),"-")</f>
        <v>LT005</v>
      </c>
      <c r="F98" s="3">
        <v>4</v>
      </c>
    </row>
    <row r="99" spans="1:6" x14ac:dyDescent="0.2">
      <c r="A99" s="4">
        <v>96</v>
      </c>
      <c r="B99" s="5">
        <v>45916</v>
      </c>
      <c r="C99" s="7" t="s">
        <v>172</v>
      </c>
      <c r="D99" s="7" t="str">
        <f>IFERROR(VLOOKUP(ENTRADASBODEGA[[#This Row],[CÓDIGO PRODUCTO]],INVENTARIOBODEGA[],2,FALSE),"-")</f>
        <v>VÁLVULA ANGULAR 2" - CASTLE</v>
      </c>
      <c r="E99" s="7" t="str">
        <f>IFERROR(VLOOKUP(ENTRADASBODEGA[[#This Row],[CÓDIGO PRODUCTO]],INVENTARIOBODEGA[],3,FALSE),"-")</f>
        <v>LT005</v>
      </c>
      <c r="F99" s="3">
        <v>3</v>
      </c>
    </row>
    <row r="100" spans="1:6" x14ac:dyDescent="0.2">
      <c r="A100" s="4">
        <v>97</v>
      </c>
      <c r="B100" s="5">
        <v>45916</v>
      </c>
      <c r="C100" s="7" t="s">
        <v>173</v>
      </c>
      <c r="D100" s="7" t="str">
        <f>IFERROR(VLOOKUP(ENTRADASBODEGA[[#This Row],[CÓDIGO PRODUCTO]],INVENTARIOBODEGA[],2,FALSE),"-")</f>
        <v>VÁLVULA ANGULAR 3" - CASTLE</v>
      </c>
      <c r="E100" s="7" t="str">
        <f>IFERROR(VLOOKUP(ENTRADASBODEGA[[#This Row],[CÓDIGO PRODUCTO]],INVENTARIOBODEGA[],3,FALSE),"-")</f>
        <v>LT005</v>
      </c>
      <c r="F100" s="3">
        <v>1</v>
      </c>
    </row>
    <row r="101" spans="1:6" x14ac:dyDescent="0.2">
      <c r="A101" s="4">
        <v>98</v>
      </c>
      <c r="B101" s="5">
        <v>45916</v>
      </c>
      <c r="C101" s="7" t="s">
        <v>183</v>
      </c>
      <c r="D101" s="7" t="str">
        <f>IFERROR(VLOOKUP(ENTRADASBODEGA[[#This Row],[CÓDIGO PRODUCTO]],INVENTARIOBODEGA[],2,FALSE),"-")</f>
        <v>VÁLVULA DE ¼ PARA MANÓMETRO - PARKER</v>
      </c>
      <c r="E101" s="7" t="str">
        <f>IFERROR(VLOOKUP(ENTRADASBODEGA[[#This Row],[CÓDIGO PRODUCTO]],INVENTARIOBODEGA[],3,FALSE),"-")</f>
        <v>LT005</v>
      </c>
      <c r="F101" s="3">
        <v>12</v>
      </c>
    </row>
    <row r="102" spans="1:6" x14ac:dyDescent="0.2">
      <c r="A102" s="4">
        <v>99</v>
      </c>
      <c r="B102" s="5">
        <v>45916</v>
      </c>
      <c r="C102" s="7" t="s">
        <v>162</v>
      </c>
      <c r="D102" s="7" t="str">
        <f>IFERROR(VLOOKUP(ENTRADASBODEGA[[#This Row],[CÓDIGO PRODUCTO]],INVENTARIOBODEGA[],2,FALSE),"-")</f>
        <v>VÁLVULA DE DESCARGA 440</v>
      </c>
      <c r="E102" s="7" t="str">
        <f>IFERROR(VLOOKUP(ENTRADASBODEGA[[#This Row],[CÓDIGO PRODUCTO]],INVENTARIOBODEGA[],3,FALSE),"-")</f>
        <v>LT005</v>
      </c>
      <c r="F102" s="3">
        <v>23</v>
      </c>
    </row>
    <row r="103" spans="1:6" x14ac:dyDescent="0.2">
      <c r="A103" s="4">
        <v>100</v>
      </c>
      <c r="B103" s="5">
        <v>45916</v>
      </c>
      <c r="C103" s="7" t="s">
        <v>164</v>
      </c>
      <c r="D103" s="7" t="str">
        <f>IFERROR(VLOOKUP(ENTRADASBODEGA[[#This Row],[CÓDIGO PRODUCTO]],INVENTARIOBODEGA[],2,FALSE),"-")</f>
        <v>VÁLVULA DE DESCARGA 440 REUSABLES</v>
      </c>
      <c r="E103" s="7" t="str">
        <f>IFERROR(VLOOKUP(ENTRADASBODEGA[[#This Row],[CÓDIGO PRODUCTO]],INVENTARIOBODEGA[],3,FALSE),"-")</f>
        <v>LT005</v>
      </c>
      <c r="F103" s="3">
        <v>23</v>
      </c>
    </row>
    <row r="104" spans="1:6" x14ac:dyDescent="0.2">
      <c r="A104" s="4">
        <v>101</v>
      </c>
      <c r="B104" s="5">
        <v>45916</v>
      </c>
      <c r="C104" s="7" t="s">
        <v>163</v>
      </c>
      <c r="D104" s="7" t="str">
        <f>IFERROR(VLOOKUP(ENTRADASBODEGA[[#This Row],[CÓDIGO PRODUCTO]],INVENTARIOBODEGA[],2,FALSE),"-")</f>
        <v>VÁLVULA DE DESCARGA 450</v>
      </c>
      <c r="E104" s="7" t="str">
        <f>IFERROR(VLOOKUP(ENTRADASBODEGA[[#This Row],[CÓDIGO PRODUCTO]],INVENTARIOBODEGA[],3,FALSE),"-")</f>
        <v>LT005</v>
      </c>
      <c r="F104" s="3">
        <v>121</v>
      </c>
    </row>
    <row r="105" spans="1:6" x14ac:dyDescent="0.2">
      <c r="A105" s="4">
        <v>102</v>
      </c>
      <c r="B105" s="5">
        <v>45916</v>
      </c>
      <c r="C105" s="7" t="s">
        <v>252</v>
      </c>
      <c r="D105" s="7" t="str">
        <f>IFERROR(VLOOKUP(ENTRADASBODEGA[[#This Row],[CÓDIGO PRODUCTO]],INVENTARIOBODEGA[],2,FALSE),"-")</f>
        <v>VÁLVULA DE DESCARGA MYCOM  ¼</v>
      </c>
      <c r="E105" s="7" t="str">
        <f>IFERROR(VLOOKUP(ENTRADASBODEGA[[#This Row],[CÓDIGO PRODUCTO]],INVENTARIOBODEGA[],3,FALSE),"-")</f>
        <v>LT005</v>
      </c>
      <c r="F105" s="3">
        <v>22</v>
      </c>
    </row>
    <row r="106" spans="1:6" x14ac:dyDescent="0.2">
      <c r="A106" s="4">
        <v>103</v>
      </c>
      <c r="B106" s="5">
        <v>45916</v>
      </c>
      <c r="C106" s="7" t="s">
        <v>253</v>
      </c>
      <c r="D106" s="7" t="str">
        <f>IFERROR(VLOOKUP(ENTRADASBODEGA[[#This Row],[CÓDIGO PRODUCTO]],INVENTARIOBODEGA[],2,FALSE),"-")</f>
        <v>VÁLVULA DE DESCARGA MYCOM A</v>
      </c>
      <c r="E106" s="7" t="str">
        <f>IFERROR(VLOOKUP(ENTRADASBODEGA[[#This Row],[CÓDIGO PRODUCTO]],INVENTARIOBODEGA[],3,FALSE),"-")</f>
        <v>LT005</v>
      </c>
      <c r="F106" s="3">
        <v>73</v>
      </c>
    </row>
    <row r="107" spans="1:6" x14ac:dyDescent="0.2">
      <c r="A107" s="4">
        <v>104</v>
      </c>
      <c r="B107" s="5">
        <v>45916</v>
      </c>
      <c r="C107" s="7" t="s">
        <v>249</v>
      </c>
      <c r="D107" s="7" t="str">
        <f>IFERROR(VLOOKUP(ENTRADASBODEGA[[#This Row],[CÓDIGO PRODUCTO]],INVENTARIOBODEGA[],2,FALSE),"-")</f>
        <v>VÁLVULA DE DESCARGA MYCOM B</v>
      </c>
      <c r="E107" s="7" t="str">
        <f>IFERROR(VLOOKUP(ENTRADASBODEGA[[#This Row],[CÓDIGO PRODUCTO]],INVENTARIOBODEGA[],3,FALSE),"-")</f>
        <v>LT005</v>
      </c>
      <c r="F107" s="3">
        <v>34</v>
      </c>
    </row>
    <row r="108" spans="1:6" x14ac:dyDescent="0.2">
      <c r="A108" s="4">
        <v>105</v>
      </c>
      <c r="B108" s="5">
        <v>45916</v>
      </c>
      <c r="C108" s="7" t="s">
        <v>170</v>
      </c>
      <c r="D108" s="7" t="str">
        <f>IFERROR(VLOOKUP(ENTRADASBODEGA[[#This Row],[CÓDIGO PRODUCTO]],INVENTARIOBODEGA[],2,FALSE),"-")</f>
        <v>VÁLVULA DE EXPANSIÓN MANUAL PARKER ½</v>
      </c>
      <c r="E108" s="7" t="str">
        <f>IFERROR(VLOOKUP(ENTRADASBODEGA[[#This Row],[CÓDIGO PRODUCTO]],INVENTARIOBODEGA[],3,FALSE),"-")</f>
        <v>LT005</v>
      </c>
      <c r="F108" s="3">
        <v>15</v>
      </c>
    </row>
    <row r="109" spans="1:6" x14ac:dyDescent="0.2">
      <c r="A109" s="4">
        <v>106</v>
      </c>
      <c r="B109" s="5">
        <v>45916</v>
      </c>
      <c r="C109" s="7" t="s">
        <v>262</v>
      </c>
      <c r="D109" s="7" t="str">
        <f>IFERROR(VLOOKUP(ENTRADASBODEGA[[#This Row],[CÓDIGO PRODUCTO]],INVENTARIOBODEGA[],2,FALSE),"-")</f>
        <v>VÁLVULA DE EXPANSIÓN PARKER DAE5C</v>
      </c>
      <c r="E109" s="7" t="str">
        <f>IFERROR(VLOOKUP(ENTRADASBODEGA[[#This Row],[CÓDIGO PRODUCTO]],INVENTARIOBODEGA[],3,FALSE),"-")</f>
        <v>LT005</v>
      </c>
      <c r="F109" s="3">
        <v>1</v>
      </c>
    </row>
    <row r="110" spans="1:6" x14ac:dyDescent="0.2">
      <c r="A110" s="4">
        <v>107</v>
      </c>
      <c r="B110" s="5">
        <v>45916</v>
      </c>
      <c r="C110" s="7" t="s">
        <v>177</v>
      </c>
      <c r="D110" s="7" t="str">
        <f>IFERROR(VLOOKUP(ENTRADASBODEGA[[#This Row],[CÓDIGO PRODUCTO]],INVENTARIOBODEGA[],2,FALSE),"-")</f>
        <v>VÁLVULA DE PASO ANGULAR ½ - DANFOSS</v>
      </c>
      <c r="E110" s="7" t="str">
        <f>IFERROR(VLOOKUP(ENTRADASBODEGA[[#This Row],[CÓDIGO PRODUCTO]],INVENTARIOBODEGA[],3,FALSE),"-")</f>
        <v>LT005</v>
      </c>
      <c r="F110" s="3">
        <v>1</v>
      </c>
    </row>
    <row r="111" spans="1:6" x14ac:dyDescent="0.2">
      <c r="A111" s="4">
        <v>108</v>
      </c>
      <c r="B111" s="5">
        <v>45916</v>
      </c>
      <c r="C111" s="7" t="s">
        <v>169</v>
      </c>
      <c r="D111" s="7" t="str">
        <f>IFERROR(VLOOKUP(ENTRADASBODEGA[[#This Row],[CÓDIGO PRODUCTO]],INVENTARIOBODEGA[],2,FALSE),"-")</f>
        <v>VÁLVULA DE PASO ANGULAR 2" - DANFOSS</v>
      </c>
      <c r="E111" s="7" t="str">
        <f>IFERROR(VLOOKUP(ENTRADASBODEGA[[#This Row],[CÓDIGO PRODUCTO]],INVENTARIOBODEGA[],3,FALSE),"-")</f>
        <v>LT005</v>
      </c>
      <c r="F111" s="3">
        <v>6</v>
      </c>
    </row>
    <row r="112" spans="1:6" x14ac:dyDescent="0.2">
      <c r="A112" s="4">
        <v>109</v>
      </c>
      <c r="B112" s="5">
        <v>45916</v>
      </c>
      <c r="C112" s="7" t="s">
        <v>176</v>
      </c>
      <c r="D112" s="7" t="str">
        <f>IFERROR(VLOOKUP(ENTRADASBODEGA[[#This Row],[CÓDIGO PRODUCTO]],INVENTARIOBODEGA[],2,FALSE),"-")</f>
        <v>VÁLVULA DE PASO RECTA SOLDABLE ½ - DANFOSS</v>
      </c>
      <c r="E112" s="7" t="str">
        <f>IFERROR(VLOOKUP(ENTRADASBODEGA[[#This Row],[CÓDIGO PRODUCTO]],INVENTARIOBODEGA[],3,FALSE),"-")</f>
        <v>LT005</v>
      </c>
      <c r="F112" s="3">
        <v>19</v>
      </c>
    </row>
    <row r="113" spans="1:6" x14ac:dyDescent="0.2">
      <c r="A113" s="4">
        <v>110</v>
      </c>
      <c r="B113" s="5">
        <v>45916</v>
      </c>
      <c r="C113" s="7" t="s">
        <v>180</v>
      </c>
      <c r="D113" s="7" t="str">
        <f>IFERROR(VLOOKUP(ENTRADASBODEGA[[#This Row],[CÓDIGO PRODUCTO]],INVENTARIOBODEGA[],2,FALSE),"-")</f>
        <v>VÁLVULA DE PASO ROSCABLE ½ PARKER</v>
      </c>
      <c r="E113" s="7" t="str">
        <f>IFERROR(VLOOKUP(ENTRADASBODEGA[[#This Row],[CÓDIGO PRODUCTO]],INVENTARIOBODEGA[],3,FALSE),"-")</f>
        <v>LT005</v>
      </c>
      <c r="F113" s="3">
        <v>1</v>
      </c>
    </row>
    <row r="114" spans="1:6" x14ac:dyDescent="0.2">
      <c r="A114" s="4">
        <v>111</v>
      </c>
      <c r="B114" s="5">
        <v>45916</v>
      </c>
      <c r="C114" s="7" t="s">
        <v>181</v>
      </c>
      <c r="D114" s="7" t="str">
        <f>IFERROR(VLOOKUP(ENTRADASBODEGA[[#This Row],[CÓDIGO PRODUCTO]],INVENTARIOBODEGA[],2,FALSE),"-")</f>
        <v>VÁLVULA DE PASO ROSCABLES 1" - HANSEN</v>
      </c>
      <c r="E114" s="7" t="str">
        <f>IFERROR(VLOOKUP(ENTRADASBODEGA[[#This Row],[CÓDIGO PRODUCTO]],INVENTARIOBODEGA[],3,FALSE),"-")</f>
        <v>LT005</v>
      </c>
      <c r="F114" s="3">
        <v>1</v>
      </c>
    </row>
    <row r="115" spans="1:6" x14ac:dyDescent="0.2">
      <c r="A115" s="4">
        <v>112</v>
      </c>
      <c r="B115" s="5">
        <v>45916</v>
      </c>
      <c r="C115" s="7" t="s">
        <v>182</v>
      </c>
      <c r="D115" s="7" t="str">
        <f>IFERROR(VLOOKUP(ENTRADASBODEGA[[#This Row],[CÓDIGO PRODUCTO]],INVENTARIOBODEGA[],2,FALSE),"-")</f>
        <v>VÁLVULA DE PASO SOLDABLE ½  - HANSEN</v>
      </c>
      <c r="E115" s="7" t="str">
        <f>IFERROR(VLOOKUP(ENTRADASBODEGA[[#This Row],[CÓDIGO PRODUCTO]],INVENTARIOBODEGA[],3,FALSE),"-")</f>
        <v>LT005</v>
      </c>
      <c r="F115" s="3">
        <v>1</v>
      </c>
    </row>
    <row r="116" spans="1:6" x14ac:dyDescent="0.2">
      <c r="A116" s="4">
        <v>113</v>
      </c>
      <c r="B116" s="5">
        <v>45916</v>
      </c>
      <c r="C116" s="7" t="s">
        <v>212</v>
      </c>
      <c r="D116" s="7" t="str">
        <f>IFERROR(VLOOKUP(ENTRADASBODEGA[[#This Row],[CÓDIGO PRODUCTO]],INVENTARIOBODEGA[],2,FALSE),"-")</f>
        <v>VÁLVULA DE SEGURIDAD PARKER 200 PSIG</v>
      </c>
      <c r="E116" s="7" t="str">
        <f>IFERROR(VLOOKUP(ENTRADASBODEGA[[#This Row],[CÓDIGO PRODUCTO]],INVENTARIOBODEGA[],3,FALSE),"-")</f>
        <v>LT005</v>
      </c>
      <c r="F116" s="3">
        <v>1</v>
      </c>
    </row>
    <row r="117" spans="1:6" x14ac:dyDescent="0.2">
      <c r="A117" s="4">
        <v>114</v>
      </c>
      <c r="B117" s="5">
        <v>45916</v>
      </c>
      <c r="C117" s="7" t="s">
        <v>185</v>
      </c>
      <c r="D117" s="7" t="str">
        <f>IFERROR(VLOOKUP(ENTRADASBODEGA[[#This Row],[CÓDIGO PRODUCTO]],INVENTARIOBODEGA[],2,FALSE),"-")</f>
        <v>VÁLVULA DE SERVICIO BITZER 2 ½"</v>
      </c>
      <c r="E117" s="7" t="str">
        <f>IFERROR(VLOOKUP(ENTRADASBODEGA[[#This Row],[CÓDIGO PRODUCTO]],INVENTARIOBODEGA[],3,FALSE),"-")</f>
        <v>LT005</v>
      </c>
      <c r="F117" s="3">
        <v>1</v>
      </c>
    </row>
    <row r="118" spans="1:6" x14ac:dyDescent="0.2">
      <c r="A118" s="4">
        <v>115</v>
      </c>
      <c r="B118" s="5">
        <v>45916</v>
      </c>
      <c r="C118" s="7" t="s">
        <v>186</v>
      </c>
      <c r="D118" s="7" t="str">
        <f>IFERROR(VLOOKUP(ENTRADASBODEGA[[#This Row],[CÓDIGO PRODUCTO]],INVENTARIOBODEGA[],2,FALSE),"-")</f>
        <v>VÁLVULA DE SERVICIO BITZER 2"</v>
      </c>
      <c r="E118" s="7" t="str">
        <f>IFERROR(VLOOKUP(ENTRADASBODEGA[[#This Row],[CÓDIGO PRODUCTO]],INVENTARIOBODEGA[],3,FALSE),"-")</f>
        <v>LT005</v>
      </c>
      <c r="F118" s="3">
        <v>2</v>
      </c>
    </row>
    <row r="119" spans="1:6" x14ac:dyDescent="0.2">
      <c r="A119" s="4">
        <v>116</v>
      </c>
      <c r="B119" s="5">
        <v>45916</v>
      </c>
      <c r="C119" s="7" t="s">
        <v>184</v>
      </c>
      <c r="D119" s="7" t="str">
        <f>IFERROR(VLOOKUP(ENTRADASBODEGA[[#This Row],[CÓDIGO PRODUCTO]],INVENTARIOBODEGA[],2,FALSE),"-")</f>
        <v>VÁLVULA DE SERVICIO DE DESCARGA BITZER 3"</v>
      </c>
      <c r="E119" s="7" t="str">
        <f>IFERROR(VLOOKUP(ENTRADASBODEGA[[#This Row],[CÓDIGO PRODUCTO]],INVENTARIOBODEGA[],3,FALSE),"-")</f>
        <v>LT005</v>
      </c>
      <c r="F119" s="3">
        <v>1</v>
      </c>
    </row>
    <row r="120" spans="1:6" x14ac:dyDescent="0.2">
      <c r="A120" s="4">
        <v>117</v>
      </c>
      <c r="B120" s="5">
        <v>45916</v>
      </c>
      <c r="C120" s="7" t="s">
        <v>161</v>
      </c>
      <c r="D120" s="7" t="str">
        <f>IFERROR(VLOOKUP(ENTRADASBODEGA[[#This Row],[CÓDIGO PRODUCTO]],INVENTARIOBODEGA[],2,FALSE),"-")</f>
        <v>VÁLVULA DE SUCCIÓN</v>
      </c>
      <c r="E120" s="7" t="str">
        <f>IFERROR(VLOOKUP(ENTRADASBODEGA[[#This Row],[CÓDIGO PRODUCTO]],INVENTARIOBODEGA[],3,FALSE),"-")</f>
        <v>LT005</v>
      </c>
      <c r="F120" s="3">
        <v>39</v>
      </c>
    </row>
    <row r="121" spans="1:6" x14ac:dyDescent="0.2">
      <c r="A121" s="4">
        <v>118</v>
      </c>
      <c r="B121" s="5">
        <v>45916</v>
      </c>
      <c r="C121" s="7" t="s">
        <v>251</v>
      </c>
      <c r="D121" s="7" t="str">
        <f>IFERROR(VLOOKUP(ENTRADASBODEGA[[#This Row],[CÓDIGO PRODUCTO]],INVENTARIOBODEGA[],2,FALSE),"-")</f>
        <v>VÁLVULA DE SUCCIÓN MYCOM B</v>
      </c>
      <c r="E121" s="7" t="str">
        <f>IFERROR(VLOOKUP(ENTRADASBODEGA[[#This Row],[CÓDIGO PRODUCTO]],INVENTARIOBODEGA[],3,FALSE),"-")</f>
        <v>LT005</v>
      </c>
      <c r="F121" s="3">
        <v>85</v>
      </c>
    </row>
    <row r="122" spans="1:6" x14ac:dyDescent="0.2">
      <c r="A122" s="4">
        <v>119</v>
      </c>
      <c r="B122" s="5">
        <v>45916</v>
      </c>
      <c r="C122" s="7" t="s">
        <v>290</v>
      </c>
      <c r="D122" s="7" t="str">
        <f>IFERROR(VLOOKUP(ENTRADASBODEGA[[#This Row],[CÓDIGO PRODUCTO]],INVENTARIOBODEGA[],2,FALSE),"-")</f>
        <v>VÁLVULA DE SUCCIÓN ORIGINAL VILTER</v>
      </c>
      <c r="E122" s="7" t="str">
        <f>IFERROR(VLOOKUP(ENTRADASBODEGA[[#This Row],[CÓDIGO PRODUCTO]],INVENTARIOBODEGA[],3,FALSE),"-")</f>
        <v>LT005</v>
      </c>
      <c r="F122" s="3">
        <v>14</v>
      </c>
    </row>
    <row r="123" spans="1:6" x14ac:dyDescent="0.2">
      <c r="A123" s="4">
        <v>120</v>
      </c>
      <c r="B123" s="5">
        <v>45916</v>
      </c>
      <c r="C123" s="7" t="s">
        <v>174</v>
      </c>
      <c r="D123" s="7" t="str">
        <f>IFERROR(VLOOKUP(ENTRADASBODEGA[[#This Row],[CÓDIGO PRODUCTO]],INVENTARIOBODEGA[],2,FALSE),"-")</f>
        <v>VÁLVULA REGULADORA DE PRESIÓN A4AL - PARKER 2 PERNOS</v>
      </c>
      <c r="E123" s="7" t="str">
        <f>IFERROR(VLOOKUP(ENTRADASBODEGA[[#This Row],[CÓDIGO PRODUCTO]],INVENTARIOBODEGA[],3,FALSE),"-")</f>
        <v>LT005</v>
      </c>
      <c r="F123" s="3">
        <v>2</v>
      </c>
    </row>
    <row r="124" spans="1:6" x14ac:dyDescent="0.2">
      <c r="A124" s="4">
        <v>121</v>
      </c>
      <c r="B124" s="5">
        <v>45916</v>
      </c>
      <c r="C124" s="7" t="s">
        <v>171</v>
      </c>
      <c r="D124" s="7" t="str">
        <f>IFERROR(VLOOKUP(ENTRADASBODEGA[[#This Row],[CÓDIGO PRODUCTO]],INVENTARIOBODEGA[],2,FALSE),"-")</f>
        <v>VÁLVULA REGULADORA DE PRESIÓN A4AL - PARKER 4 PERNOS</v>
      </c>
      <c r="E124" s="7" t="str">
        <f>IFERROR(VLOOKUP(ENTRADASBODEGA[[#This Row],[CÓDIGO PRODUCTO]],INVENTARIOBODEGA[],3,FALSE),"-")</f>
        <v>LT005</v>
      </c>
      <c r="F124" s="3">
        <v>1</v>
      </c>
    </row>
    <row r="125" spans="1:6" x14ac:dyDescent="0.2">
      <c r="A125" s="4">
        <v>122</v>
      </c>
      <c r="B125" s="5">
        <v>45916</v>
      </c>
      <c r="C125" s="7" t="s">
        <v>179</v>
      </c>
      <c r="D125" s="7" t="str">
        <f>IFERROR(VLOOKUP(ENTRADASBODEGA[[#This Row],[CÓDIGO PRODUCTO]],INVENTARIOBODEGA[],2,FALSE),"-")</f>
        <v>VÁLVULA SOLDABLE ½ AGM</v>
      </c>
      <c r="E125" s="7" t="str">
        <f>IFERROR(VLOOKUP(ENTRADASBODEGA[[#This Row],[CÓDIGO PRODUCTO]],INVENTARIOBODEGA[],3,FALSE),"-")</f>
        <v>LT005</v>
      </c>
      <c r="F125" s="3">
        <v>1</v>
      </c>
    </row>
    <row r="126" spans="1:6" x14ac:dyDescent="0.2">
      <c r="A126" s="4">
        <v>123</v>
      </c>
      <c r="B126" s="5">
        <v>45916</v>
      </c>
      <c r="C126" s="7" t="s">
        <v>191</v>
      </c>
      <c r="D126" s="7" t="str">
        <f>IFERROR(VLOOKUP(ENTRADASBODEGA[[#This Row],[CÓDIGO PRODUCTO]],INVENTARIOBODEGA[],2,FALSE),"-")</f>
        <v xml:space="preserve">VÁLVULA SOLENOIDE PARKER S4A - 2 PERNOS </v>
      </c>
      <c r="E126" s="7" t="str">
        <f>IFERROR(VLOOKUP(ENTRADASBODEGA[[#This Row],[CÓDIGO PRODUCTO]],INVENTARIOBODEGA[],3,FALSE),"-")</f>
        <v>LT005</v>
      </c>
      <c r="F126" s="3">
        <v>1</v>
      </c>
    </row>
    <row r="127" spans="1:6" x14ac:dyDescent="0.2">
      <c r="A127" s="4">
        <v>124</v>
      </c>
      <c r="B127" s="5">
        <v>45916</v>
      </c>
      <c r="C127" s="7" t="s">
        <v>178</v>
      </c>
      <c r="D127" s="7" t="str">
        <f>IFERROR(VLOOKUP(ENTRADASBODEGA[[#This Row],[CÓDIGO PRODUCTO]],INVENTARIOBODEGA[],2,FALSE),"-")</f>
        <v>VÁLVULA SOLENOIDE PARKER S4A 1¼" - 4 PERNOS</v>
      </c>
      <c r="E127" s="7" t="str">
        <f>IFERROR(VLOOKUP(ENTRADASBODEGA[[#This Row],[CÓDIGO PRODUCTO]],INVENTARIOBODEGA[],3,FALSE),"-")</f>
        <v>LT005</v>
      </c>
      <c r="F127" s="3">
        <v>1</v>
      </c>
    </row>
    <row r="128" spans="1:6" x14ac:dyDescent="0.2">
      <c r="A128" s="4">
        <v>125</v>
      </c>
      <c r="B128" s="5">
        <v>45916</v>
      </c>
      <c r="C128" s="7" t="s">
        <v>207</v>
      </c>
      <c r="D128" s="7" t="str">
        <f>IFERROR(VLOOKUP(ENTRADASBODEGA[[#This Row],[CÓDIGO PRODUCTO]],INVENTARIOBODEGA[],2,FALSE),"-")</f>
        <v>VISOR DE LÍQUIDO 30CM</v>
      </c>
      <c r="E128" s="7" t="str">
        <f>IFERROR(VLOOKUP(ENTRADASBODEGA[[#This Row],[CÓDIGO PRODUCTO]],INVENTARIOBODEGA[],3,FALSE),"-")</f>
        <v>LT010</v>
      </c>
      <c r="F128" s="3">
        <v>3</v>
      </c>
    </row>
    <row r="129" spans="1:6" x14ac:dyDescent="0.2">
      <c r="A129" s="4">
        <v>126</v>
      </c>
      <c r="B129" s="5">
        <v>45916</v>
      </c>
      <c r="C129" s="7" t="s">
        <v>206</v>
      </c>
      <c r="D129" s="7" t="str">
        <f>IFERROR(VLOOKUP(ENTRADASBODEGA[[#This Row],[CÓDIGO PRODUCTO]],INVENTARIOBODEGA[],2,FALSE),"-")</f>
        <v>VISOR DE LÍQUIDO 45CM</v>
      </c>
      <c r="E129" s="7" t="str">
        <f>IFERROR(VLOOKUP(ENTRADASBODEGA[[#This Row],[CÓDIGO PRODUCTO]],INVENTARIOBODEGA[],3,FALSE),"-")</f>
        <v>LT010</v>
      </c>
      <c r="F129" s="3">
        <v>2</v>
      </c>
    </row>
    <row r="130" spans="1:6" x14ac:dyDescent="0.2">
      <c r="A130" s="4">
        <v>127</v>
      </c>
      <c r="B130" s="5">
        <v>45916</v>
      </c>
      <c r="C130" s="7" t="s">
        <v>205</v>
      </c>
      <c r="D130" s="7" t="str">
        <f>IFERROR(VLOOKUP(ENTRADASBODEGA[[#This Row],[CÓDIGO PRODUCTO]],INVENTARIOBODEGA[],2,FALSE),"-")</f>
        <v>VISOR DE LÍQUIDO 60CM</v>
      </c>
      <c r="E130" s="7" t="str">
        <f>IFERROR(VLOOKUP(ENTRADASBODEGA[[#This Row],[CÓDIGO PRODUCTO]],INVENTARIOBODEGA[],3,FALSE),"-")</f>
        <v>LT010</v>
      </c>
      <c r="F130" s="3">
        <v>13</v>
      </c>
    </row>
    <row r="131" spans="1:6" x14ac:dyDescent="0.2">
      <c r="A131" s="4">
        <v>128</v>
      </c>
      <c r="B131" s="5">
        <v>45916</v>
      </c>
      <c r="C131" s="7" t="s">
        <v>233</v>
      </c>
      <c r="D131" s="7" t="str">
        <f>IFERROR(VLOOKUP(ENTRADASBODEGA[[#This Row],[CÓDIGO PRODUCTO]],INVENTARIOBODEGA[],2,FALSE),"-")</f>
        <v>YOKE NEW STYLE A33575A</v>
      </c>
      <c r="E131" s="7" t="str">
        <f>IFERROR(VLOOKUP(ENTRADASBODEGA[[#This Row],[CÓDIGO PRODUCTO]],INVENTARIOBODEGA[],3,FALSE),"-")</f>
        <v>LT022</v>
      </c>
      <c r="F131" s="3">
        <v>7</v>
      </c>
    </row>
    <row r="132" spans="1:6" x14ac:dyDescent="0.2">
      <c r="A132" s="4">
        <v>129</v>
      </c>
      <c r="B132" s="5">
        <v>45916</v>
      </c>
      <c r="C132" s="7" t="s">
        <v>234</v>
      </c>
      <c r="D132" s="7" t="str">
        <f>IFERROR(VLOOKUP(ENTRADASBODEGA[[#This Row],[CÓDIGO PRODUCTO]],INVENTARIOBODEGA[],2,FALSE),"-")</f>
        <v>YOKE OLD STYLE A33577A</v>
      </c>
      <c r="E132" s="7" t="str">
        <f>IFERROR(VLOOKUP(ENTRADASBODEGA[[#This Row],[CÓDIGO PRODUCTO]],INVENTARIOBODEGA[],3,FALSE),"-")</f>
        <v>LT022</v>
      </c>
      <c r="F132" s="3">
        <v>4</v>
      </c>
    </row>
    <row r="133" spans="1:6" ht="16" x14ac:dyDescent="0.2">
      <c r="A133" s="4">
        <v>130</v>
      </c>
      <c r="B133" s="5">
        <v>45938</v>
      </c>
      <c r="C133" s="18" t="s">
        <v>489</v>
      </c>
      <c r="D133" s="7" t="str">
        <f>IFERROR(VLOOKUP(ENTRADASBODEGA[[#This Row],[CÓDIGO PRODUCTO]],INVENTARIOBODEGA[],2,FALSE),"-")</f>
        <v>GASKET SET BITZER HS 74</v>
      </c>
      <c r="E133" s="7" t="str">
        <f>IFERROR(VLOOKUP(ENTRADASBODEGA[[#This Row],[CÓDIGO PRODUCTO]],INVENTARIOBODEGA[],3,FALSE),"-")</f>
        <v>LT033</v>
      </c>
      <c r="F133" s="3">
        <v>2</v>
      </c>
    </row>
    <row r="134" spans="1:6" ht="16" x14ac:dyDescent="0.2">
      <c r="A134" s="4">
        <v>131</v>
      </c>
      <c r="B134" s="5">
        <v>45938</v>
      </c>
      <c r="C134" s="18" t="s">
        <v>490</v>
      </c>
      <c r="D134" s="7" t="str">
        <f>IFERROR(VLOOKUP(ENTRADASBODEGA[[#This Row],[CÓDIGO PRODUCTO]],INVENTARIOBODEGA[],2,FALSE),"-")</f>
        <v>GASKET SET BITZER HS 64</v>
      </c>
      <c r="E134" s="7" t="str">
        <f>IFERROR(VLOOKUP(ENTRADASBODEGA[[#This Row],[CÓDIGO PRODUCTO]],INVENTARIOBODEGA[],3,FALSE),"-")</f>
        <v>LT033</v>
      </c>
      <c r="F134" s="3">
        <v>2</v>
      </c>
    </row>
    <row r="135" spans="1:6" ht="16" x14ac:dyDescent="0.2">
      <c r="A135" s="4">
        <v>132</v>
      </c>
      <c r="B135" s="5">
        <v>45938</v>
      </c>
      <c r="C135" s="18" t="s">
        <v>491</v>
      </c>
      <c r="D135" s="7" t="str">
        <f>IFERROR(VLOOKUP(ENTRADASBODEGA[[#This Row],[CÓDIGO PRODUCTO]],INVENTARIOBODEGA[],2,FALSE),"-")</f>
        <v xml:space="preserve">GASKET SET BITZER HS 8551 / 61 / 71 </v>
      </c>
      <c r="E135" s="7" t="str">
        <f>IFERROR(VLOOKUP(ENTRADASBODEGA[[#This Row],[CÓDIGO PRODUCTO]],INVENTARIOBODEGA[],3,FALSE),"-")</f>
        <v>LT033</v>
      </c>
      <c r="F135" s="3">
        <v>2</v>
      </c>
    </row>
    <row r="136" spans="1:6" ht="16" x14ac:dyDescent="0.2">
      <c r="A136" s="4">
        <v>133</v>
      </c>
      <c r="B136" s="5">
        <v>45938</v>
      </c>
      <c r="C136" s="18" t="s">
        <v>492</v>
      </c>
      <c r="D136" s="7" t="str">
        <f>IFERROR(VLOOKUP(ENTRADASBODEGA[[#This Row],[CÓDIGO PRODUCTO]],INVENTARIOBODEGA[],2,FALSE),"-")</f>
        <v>STOP VALVE STAIGHT DN 50</v>
      </c>
      <c r="E136" s="7" t="str">
        <f>IFERROR(VLOOKUP(ENTRADASBODEGA[[#This Row],[CÓDIGO PRODUCTO]],INVENTARIOBODEGA[],3,FALSE),"-")</f>
        <v>LT034</v>
      </c>
      <c r="F136" s="3">
        <v>5</v>
      </c>
    </row>
    <row r="137" spans="1:6" ht="16" x14ac:dyDescent="0.2">
      <c r="A137" s="4">
        <v>134</v>
      </c>
      <c r="B137" s="5">
        <v>45938</v>
      </c>
      <c r="C137" s="18" t="s">
        <v>493</v>
      </c>
      <c r="D137" s="7" t="str">
        <f>IFERROR(VLOOKUP(ENTRADASBODEGA[[#This Row],[CÓDIGO PRODUCTO]],INVENTARIOBODEGA[],2,FALSE),"-")</f>
        <v>STOP VALVE STAIGHT DN 40</v>
      </c>
      <c r="E137" s="7" t="str">
        <f>IFERROR(VLOOKUP(ENTRADASBODEGA[[#This Row],[CÓDIGO PRODUCTO]],INVENTARIOBODEGA[],3,FALSE),"-")</f>
        <v>LT034</v>
      </c>
      <c r="F137" s="3">
        <v>5</v>
      </c>
    </row>
    <row r="138" spans="1:6" ht="16" x14ac:dyDescent="0.2">
      <c r="A138" s="4">
        <v>135</v>
      </c>
      <c r="B138" s="5">
        <v>45938</v>
      </c>
      <c r="C138" s="18" t="s">
        <v>494</v>
      </c>
      <c r="D138" s="7" t="str">
        <f>IFERROR(VLOOKUP(ENTRADASBODEGA[[#This Row],[CÓDIGO PRODUCTO]],INVENTARIOBODEGA[],2,FALSE),"-")</f>
        <v>STOP VALVE STAIGHT DN 25</v>
      </c>
      <c r="E138" s="7" t="str">
        <f>IFERROR(VLOOKUP(ENTRADASBODEGA[[#This Row],[CÓDIGO PRODUCTO]],INVENTARIOBODEGA[],3,FALSE),"-")</f>
        <v>LT034</v>
      </c>
      <c r="F138" s="3">
        <v>5</v>
      </c>
    </row>
    <row r="139" spans="1:6" ht="16" x14ac:dyDescent="0.2">
      <c r="A139" s="4">
        <v>136</v>
      </c>
      <c r="B139" s="5">
        <v>45938</v>
      </c>
      <c r="C139" s="18" t="s">
        <v>495</v>
      </c>
      <c r="D139" s="7" t="str">
        <f>IFERROR(VLOOKUP(ENTRADASBODEGA[[#This Row],[CÓDIGO PRODUCTO]],INVENTARIOBODEGA[],2,FALSE),"-")</f>
        <v>STOP VALVE STAIGHT DN 32</v>
      </c>
      <c r="E139" s="7" t="str">
        <f>IFERROR(VLOOKUP(ENTRADASBODEGA[[#This Row],[CÓDIGO PRODUCTO]],INVENTARIOBODEGA[],3,FALSE),"-")</f>
        <v>LT034</v>
      </c>
      <c r="F139" s="3">
        <v>10</v>
      </c>
    </row>
    <row r="140" spans="1:6" ht="16" x14ac:dyDescent="0.2">
      <c r="A140" s="4">
        <v>137</v>
      </c>
      <c r="B140" s="5">
        <v>45938</v>
      </c>
      <c r="C140" s="18" t="s">
        <v>496</v>
      </c>
      <c r="D140" s="7" t="str">
        <f>IFERROR(VLOOKUP(ENTRADASBODEGA[[#This Row],[CÓDIGO PRODUCTO]],INVENTARIOBODEGA[],2,FALSE),"-")</f>
        <v xml:space="preserve">STOP VALVE STAIGHT DN 15 </v>
      </c>
      <c r="E140" s="7" t="str">
        <f>IFERROR(VLOOKUP(ENTRADASBODEGA[[#This Row],[CÓDIGO PRODUCTO]],INVENTARIOBODEGA[],3,FALSE),"-")</f>
        <v>LT034</v>
      </c>
      <c r="F140" s="3">
        <v>30</v>
      </c>
    </row>
    <row r="141" spans="1:6" ht="16" x14ac:dyDescent="0.2">
      <c r="A141" s="4">
        <v>138</v>
      </c>
      <c r="B141" s="5">
        <v>45938</v>
      </c>
      <c r="C141" s="18" t="s">
        <v>497</v>
      </c>
      <c r="D141" s="7" t="str">
        <f>IFERROR(VLOOKUP(ENTRADASBODEGA[[#This Row],[CÓDIGO PRODUCTO]],INVENTARIOBODEGA[],2,FALSE),"-")</f>
        <v>STOP VALVE ÁNGLE DN 15</v>
      </c>
      <c r="E141" s="7" t="str">
        <f>IFERROR(VLOOKUP(ENTRADASBODEGA[[#This Row],[CÓDIGO PRODUCTO]],INVENTARIOBODEGA[],3,FALSE),"-")</f>
        <v>LT034</v>
      </c>
      <c r="F141" s="3">
        <v>10</v>
      </c>
    </row>
    <row r="142" spans="1:6" ht="16" x14ac:dyDescent="0.2">
      <c r="A142" s="4">
        <v>139</v>
      </c>
      <c r="B142" s="5">
        <v>45938</v>
      </c>
      <c r="C142" s="18" t="s">
        <v>524</v>
      </c>
      <c r="D142" s="7" t="str">
        <f>IFERROR(VLOOKUP(ENTRADASBODEGA[[#This Row],[CÓDIGO PRODUCTO]],INVENTARIOBODEGA[],2,FALSE),"-")</f>
        <v>JAULA POLIAMIDA 7309</v>
      </c>
      <c r="E142" s="7" t="str">
        <f>IFERROR(VLOOKUP(ENTRADASBODEGA[[#This Row],[CÓDIGO PRODUCTO]],INVENTARIOBODEGA[],3,FALSE),"-")</f>
        <v>LT035</v>
      </c>
      <c r="F142" s="3">
        <v>2</v>
      </c>
    </row>
    <row r="143" spans="1:6" ht="16" x14ac:dyDescent="0.2">
      <c r="A143" s="4">
        <v>140</v>
      </c>
      <c r="B143" s="5">
        <v>45938</v>
      </c>
      <c r="C143" s="18" t="s">
        <v>511</v>
      </c>
      <c r="D143" s="7" t="str">
        <f>IFERROR(VLOOKUP(ENTRADASBODEGA[[#This Row],[CÓDIGO PRODUCTO]],INVENTARIOBODEGA[],2,FALSE),"-")</f>
        <v>JAULA POLIAMIDA NU 2211</v>
      </c>
      <c r="E143" s="7" t="str">
        <f>IFERROR(VLOOKUP(ENTRADASBODEGA[[#This Row],[CÓDIGO PRODUCTO]],INVENTARIOBODEGA[],3,FALSE),"-")</f>
        <v>LT035</v>
      </c>
      <c r="F143" s="3">
        <v>1</v>
      </c>
    </row>
    <row r="144" spans="1:6" ht="16" x14ac:dyDescent="0.2">
      <c r="A144" s="4">
        <v>141</v>
      </c>
      <c r="B144" s="5">
        <v>45938</v>
      </c>
      <c r="C144" s="18" t="s">
        <v>512</v>
      </c>
      <c r="D144" s="7" t="str">
        <f>IFERROR(VLOOKUP(ENTRADASBODEGA[[#This Row],[CÓDIGO PRODUCTO]],INVENTARIOBODEGA[],2,FALSE),"-")</f>
        <v>JAULA POLIAMIDA NU 2209</v>
      </c>
      <c r="E144" s="7" t="str">
        <f>IFERROR(VLOOKUP(ENTRADASBODEGA[[#This Row],[CÓDIGO PRODUCTO]],INVENTARIOBODEGA[],3,FALSE),"-")</f>
        <v>LT035</v>
      </c>
      <c r="F144" s="3">
        <v>1</v>
      </c>
    </row>
    <row r="145" spans="1:6" ht="16" x14ac:dyDescent="0.2">
      <c r="A145" s="4">
        <v>142</v>
      </c>
      <c r="B145" s="5">
        <v>45938</v>
      </c>
      <c r="C145" s="18" t="s">
        <v>513</v>
      </c>
      <c r="D145" s="7" t="str">
        <f>IFERROR(VLOOKUP(ENTRADASBODEGA[[#This Row],[CÓDIGO PRODUCTO]],INVENTARIOBODEGA[],2,FALSE),"-")</f>
        <v>JAULA POLIAMIDA 7313</v>
      </c>
      <c r="E145" s="7" t="str">
        <f>IFERROR(VLOOKUP(ENTRADASBODEGA[[#This Row],[CÓDIGO PRODUCTO]],INVENTARIOBODEGA[],3,FALSE),"-")</f>
        <v>LT035</v>
      </c>
      <c r="F145" s="3">
        <v>4</v>
      </c>
    </row>
    <row r="146" spans="1:6" ht="16" x14ac:dyDescent="0.2">
      <c r="A146" s="4">
        <v>143</v>
      </c>
      <c r="B146" s="5">
        <v>45938</v>
      </c>
      <c r="C146" s="18" t="s">
        <v>514</v>
      </c>
      <c r="D146" s="7" t="str">
        <f>IFERROR(VLOOKUP(ENTRADASBODEGA[[#This Row],[CÓDIGO PRODUCTO]],INVENTARIOBODEGA[],2,FALSE),"-")</f>
        <v>JAULA POLIAMIDA 7310</v>
      </c>
      <c r="E146" s="7" t="str">
        <f>IFERROR(VLOOKUP(ENTRADASBODEGA[[#This Row],[CÓDIGO PRODUCTO]],INVENTARIOBODEGA[],3,FALSE),"-")</f>
        <v>LT035</v>
      </c>
      <c r="F146" s="3">
        <v>2</v>
      </c>
    </row>
    <row r="147" spans="1:6" ht="16" x14ac:dyDescent="0.2">
      <c r="A147" s="4">
        <v>144</v>
      </c>
      <c r="B147" s="5">
        <v>45938</v>
      </c>
      <c r="C147" s="18" t="s">
        <v>515</v>
      </c>
      <c r="D147" s="7" t="str">
        <f>IFERROR(VLOOKUP(ENTRADASBODEGA[[#This Row],[CÓDIGO PRODUCTO]],INVENTARIOBODEGA[],2,FALSE),"-")</f>
        <v>JAULA POLIAMIDA UN 2207</v>
      </c>
      <c r="E147" s="7" t="str">
        <f>IFERROR(VLOOKUP(ENTRADASBODEGA[[#This Row],[CÓDIGO PRODUCTO]],INVENTARIOBODEGA[],3,FALSE),"-")</f>
        <v>LT035</v>
      </c>
      <c r="F147" s="3">
        <v>1</v>
      </c>
    </row>
    <row r="148" spans="1:6" ht="16" x14ac:dyDescent="0.2">
      <c r="A148" s="4">
        <v>145</v>
      </c>
      <c r="B148" s="5">
        <v>45938</v>
      </c>
      <c r="C148" s="18" t="s">
        <v>516</v>
      </c>
      <c r="D148" s="7" t="str">
        <f>IFERROR(VLOOKUP(ENTRADASBODEGA[[#This Row],[CÓDIGO PRODUCTO]],INVENTARIOBODEGA[],2,FALSE),"-")</f>
        <v xml:space="preserve">JAULA POLIAMIDA NU 1014 BRONCE </v>
      </c>
      <c r="E148" s="7" t="str">
        <f>IFERROR(VLOOKUP(ENTRADASBODEGA[[#This Row],[CÓDIGO PRODUCTO]],INVENTARIOBODEGA[],3,FALSE),"-")</f>
        <v>LT035</v>
      </c>
      <c r="F148" s="3">
        <v>2</v>
      </c>
    </row>
    <row r="149" spans="1:6" ht="16" x14ac:dyDescent="0.2">
      <c r="A149" s="4">
        <v>146</v>
      </c>
      <c r="B149" s="5">
        <v>45938</v>
      </c>
      <c r="C149" s="18" t="s">
        <v>517</v>
      </c>
      <c r="D149" s="7" t="str">
        <f>IFERROR(VLOOKUP(ENTRADASBODEGA[[#This Row],[CÓDIGO PRODUCTO]],INVENTARIOBODEGA[],2,FALSE),"-")</f>
        <v>JAULA POLIAMIDA NU 1012 BRONCE</v>
      </c>
      <c r="E149" s="7" t="str">
        <f>IFERROR(VLOOKUP(ENTRADASBODEGA[[#This Row],[CÓDIGO PRODUCTO]],INVENTARIOBODEGA[],3,FALSE),"-")</f>
        <v>LT035</v>
      </c>
      <c r="F149" s="3">
        <v>2</v>
      </c>
    </row>
    <row r="150" spans="1:6" ht="16" x14ac:dyDescent="0.2">
      <c r="A150" s="4">
        <v>147</v>
      </c>
      <c r="B150" s="5">
        <v>45938</v>
      </c>
      <c r="C150" s="18" t="s">
        <v>518</v>
      </c>
      <c r="D150" s="7" t="str">
        <f>IFERROR(VLOOKUP(ENTRADASBODEGA[[#This Row],[CÓDIGO PRODUCTO]],INVENTARIOBODEGA[],2,FALSE),"-")</f>
        <v>JAULA POLIAMIDA 7307</v>
      </c>
      <c r="E150" s="7" t="str">
        <f>IFERROR(VLOOKUP(ENTRADASBODEGA[[#This Row],[CÓDIGO PRODUCTO]],INVENTARIOBODEGA[],3,FALSE),"-")</f>
        <v>LT035</v>
      </c>
      <c r="F150" s="3">
        <v>2</v>
      </c>
    </row>
    <row r="151" spans="1:6" ht="16" x14ac:dyDescent="0.2">
      <c r="A151" s="4">
        <v>148</v>
      </c>
      <c r="B151" s="5">
        <v>45938</v>
      </c>
      <c r="C151" s="18" t="s">
        <v>519</v>
      </c>
      <c r="D151" s="7" t="str">
        <f>IFERROR(VLOOKUP(ENTRADASBODEGA[[#This Row],[CÓDIGO PRODUCTO]],INVENTARIOBODEGA[],2,FALSE),"-")</f>
        <v>JAULA POLIAMIDA NU 2208</v>
      </c>
      <c r="E151" s="7" t="str">
        <f>IFERROR(VLOOKUP(ENTRADASBODEGA[[#This Row],[CÓDIGO PRODUCTO]],INVENTARIOBODEGA[],3,FALSE),"-")</f>
        <v>LT035</v>
      </c>
      <c r="F151" s="3">
        <v>1</v>
      </c>
    </row>
    <row r="152" spans="1:6" ht="16" x14ac:dyDescent="0.2">
      <c r="A152" s="4">
        <v>149</v>
      </c>
      <c r="B152" s="5">
        <v>45938</v>
      </c>
      <c r="C152" s="18" t="s">
        <v>520</v>
      </c>
      <c r="D152" s="7" t="str">
        <f>IFERROR(VLOOKUP(ENTRADASBODEGA[[#This Row],[CÓDIGO PRODUCTO]],INVENTARIOBODEGA[],2,FALSE),"-")</f>
        <v>JAULA POLIAMIDA 2307</v>
      </c>
      <c r="E152" s="7" t="str">
        <f>IFERROR(VLOOKUP(ENTRADASBODEGA[[#This Row],[CÓDIGO PRODUCTO]],INVENTARIOBODEGA[],3,FALSE),"-")</f>
        <v>LT035</v>
      </c>
      <c r="F152" s="3">
        <v>1</v>
      </c>
    </row>
    <row r="153" spans="1:6" ht="16" x14ac:dyDescent="0.2">
      <c r="A153" s="4">
        <v>150</v>
      </c>
      <c r="B153" s="5">
        <v>45938</v>
      </c>
      <c r="C153" s="18" t="s">
        <v>521</v>
      </c>
      <c r="D153" s="7" t="str">
        <f>IFERROR(VLOOKUP(ENTRADASBODEGA[[#This Row],[CÓDIGO PRODUCTO]],INVENTARIOBODEGA[],2,FALSE),"-")</f>
        <v>JAULA POLIAMIDA NU 206</v>
      </c>
      <c r="E153" s="7" t="str">
        <f>IFERROR(VLOOKUP(ENTRADASBODEGA[[#This Row],[CÓDIGO PRODUCTO]],INVENTARIOBODEGA[],3,FALSE),"-")</f>
        <v>LT035</v>
      </c>
      <c r="F153" s="3">
        <v>1</v>
      </c>
    </row>
    <row r="154" spans="1:6" ht="16" x14ac:dyDescent="0.2">
      <c r="A154" s="4">
        <v>151</v>
      </c>
      <c r="B154" s="5">
        <v>45938</v>
      </c>
      <c r="C154" s="18" t="s">
        <v>522</v>
      </c>
      <c r="D154" s="7" t="str">
        <f>IFERROR(VLOOKUP(ENTRADASBODEGA[[#This Row],[CÓDIGO PRODUCTO]],INVENTARIOBODEGA[],2,FALSE),"-")</f>
        <v>JAULA POLIAMIDA 7306</v>
      </c>
      <c r="E154" s="7" t="str">
        <f>IFERROR(VLOOKUP(ENTRADASBODEGA[[#This Row],[CÓDIGO PRODUCTO]],INVENTARIOBODEGA[],3,FALSE),"-")</f>
        <v>LT035</v>
      </c>
      <c r="F154" s="3">
        <v>1</v>
      </c>
    </row>
    <row r="155" spans="1:6" ht="16" x14ac:dyDescent="0.2">
      <c r="A155" s="4">
        <v>152</v>
      </c>
      <c r="B155" s="5">
        <v>45938</v>
      </c>
      <c r="C155" s="18" t="s">
        <v>523</v>
      </c>
      <c r="D155" s="7" t="str">
        <f>IFERROR(VLOOKUP(ENTRADASBODEGA[[#This Row],[CÓDIGO PRODUCTO]],INVENTARIOBODEGA[],2,FALSE),"-")</f>
        <v>RODAMIENTO 450</v>
      </c>
      <c r="E155" s="7" t="str">
        <f>IFERROR(VLOOKUP(ENTRADASBODEGA[[#This Row],[CÓDIGO PRODUCTO]],INVENTARIOBODEGA[],3,FALSE),"-")</f>
        <v>LT023</v>
      </c>
      <c r="F155" s="3">
        <v>10</v>
      </c>
    </row>
    <row r="156" spans="1:6" ht="16" x14ac:dyDescent="0.2">
      <c r="A156" s="4">
        <v>153</v>
      </c>
      <c r="B156" s="5">
        <v>45966</v>
      </c>
      <c r="C156" s="18" t="s">
        <v>559</v>
      </c>
      <c r="D156" s="7" t="str">
        <f>IFERROR(VLOOKUP(ENTRADASBODEGA[[#This Row],[CÓDIGO PRODUCTO]],INVENTARIOBODEGA[],2,FALSE),"-")</f>
        <v>AKS - 38 DANFOSS</v>
      </c>
      <c r="E156" s="7" t="str">
        <f>IFERROR(VLOOKUP(ENTRADASBODEGA[[#This Row],[CÓDIGO PRODUCTO]],INVENTARIOBODEGA[],3,FALSE),"-")</f>
        <v>LT032</v>
      </c>
      <c r="F156" s="3">
        <v>6</v>
      </c>
    </row>
    <row r="157" spans="1:6" ht="16" x14ac:dyDescent="0.2">
      <c r="A157" s="4">
        <v>154</v>
      </c>
      <c r="B157" s="5">
        <v>45966</v>
      </c>
      <c r="C157" s="18" t="s">
        <v>560</v>
      </c>
      <c r="D157" s="7" t="str">
        <f>IFERROR(VLOOKUP(ENTRADASBODEGA[[#This Row],[CÓDIGO PRODUCTO]],INVENTARIOBODEGA[],2,FALSE),"-")</f>
        <v xml:space="preserve">BEARING SET CONNECTING ROD 0.015" 440 VMC </v>
      </c>
      <c r="E157" s="7" t="str">
        <f>IFERROR(VLOOKUP(ENTRADASBODEGA[[#This Row],[CÓDIGO PRODUCTO]],INVENTARIOBODEGA[],3,FALSE),"-")</f>
        <v>LT033</v>
      </c>
      <c r="F157" s="3">
        <v>40</v>
      </c>
    </row>
    <row r="158" spans="1:6" ht="16" x14ac:dyDescent="0.2">
      <c r="A158" s="4">
        <v>155</v>
      </c>
      <c r="B158" s="5">
        <v>45966</v>
      </c>
      <c r="C158" s="18" t="s">
        <v>561</v>
      </c>
      <c r="D158" s="7" t="str">
        <f>IFERROR(VLOOKUP(ENTRADASBODEGA[[#This Row],[CÓDIGO PRODUCTO]],INVENTARIOBODEGA[],2,FALSE),"-")</f>
        <v>BEARING SET CONNECTING ROD STD 440 VMC</v>
      </c>
      <c r="E158" s="7" t="str">
        <f>IFERROR(VLOOKUP(ENTRADASBODEGA[[#This Row],[CÓDIGO PRODUCTO]],INVENTARIOBODEGA[],3,FALSE),"-")</f>
        <v>LT033</v>
      </c>
      <c r="F158" s="3">
        <v>100</v>
      </c>
    </row>
    <row r="159" spans="1:6" ht="16" x14ac:dyDescent="0.2">
      <c r="A159" s="4">
        <v>156</v>
      </c>
      <c r="B159" s="5">
        <v>45966</v>
      </c>
      <c r="C159" s="18" t="s">
        <v>562</v>
      </c>
      <c r="D159" s="7" t="str">
        <f>IFERROR(VLOOKUP(ENTRADASBODEGA[[#This Row],[CÓDIGO PRODUCTO]],INVENTARIOBODEGA[],2,FALSE),"-")</f>
        <v>CONNECTING ROD WITH BEARING 440 VMV</v>
      </c>
      <c r="E159" s="7" t="str">
        <f>IFERROR(VLOOKUP(ENTRADASBODEGA[[#This Row],[CÓDIGO PRODUCTO]],INVENTARIOBODEGA[],3,FALSE),"-")</f>
        <v>LT026</v>
      </c>
      <c r="F159" s="3">
        <v>15</v>
      </c>
    </row>
    <row r="160" spans="1:6" ht="16" x14ac:dyDescent="0.2">
      <c r="A160" s="4">
        <v>157</v>
      </c>
      <c r="B160" s="5">
        <v>45966</v>
      </c>
      <c r="C160" s="18" t="s">
        <v>563</v>
      </c>
      <c r="D160" s="7" t="str">
        <f>IFERROR(VLOOKUP(ENTRADASBODEGA[[#This Row],[CÓDIGO PRODUCTO]],INVENTARIOBODEGA[],2,FALSE),"-")</f>
        <v>CONNECTING ROOD AND CAP 450 XL</v>
      </c>
      <c r="E160" s="7" t="str">
        <f>IFERROR(VLOOKUP(ENTRADASBODEGA[[#This Row],[CÓDIGO PRODUCTO]],INVENTARIOBODEGA[],3,FALSE),"-")</f>
        <v>LT026</v>
      </c>
      <c r="F160" s="3">
        <v>10</v>
      </c>
    </row>
    <row r="161" spans="1:6" ht="16" x14ac:dyDescent="0.2">
      <c r="A161" s="4">
        <v>158</v>
      </c>
      <c r="B161" s="5">
        <v>45966</v>
      </c>
      <c r="C161" s="18" t="s">
        <v>564</v>
      </c>
      <c r="D161" s="7" t="str">
        <f>IFERROR(VLOOKUP(ENTRADASBODEGA[[#This Row],[CÓDIGO PRODUCTO]],INVENTARIOBODEGA[],2,FALSE),"-")</f>
        <v>CRANKCASE HEATER 115 V</v>
      </c>
      <c r="E161" s="7" t="str">
        <f>IFERROR(VLOOKUP(ENTRADASBODEGA[[#This Row],[CÓDIGO PRODUCTO]],INVENTARIOBODEGA[],3,FALSE),"-")</f>
        <v>LT034</v>
      </c>
      <c r="F161" s="3">
        <v>10</v>
      </c>
    </row>
    <row r="162" spans="1:6" ht="16" x14ac:dyDescent="0.2">
      <c r="A162" s="4">
        <v>159</v>
      </c>
      <c r="B162" s="5">
        <v>45966</v>
      </c>
      <c r="C162" s="18" t="s">
        <v>565</v>
      </c>
      <c r="D162" s="7" t="str">
        <f>IFERROR(VLOOKUP(ENTRADASBODEGA[[#This Row],[CÓDIGO PRODUCTO]],INVENTARIOBODEGA[],2,FALSE),"-")</f>
        <v>CRANKSHAFT 440 VMC 6 CYLINDER</v>
      </c>
      <c r="E162" s="7" t="str">
        <f>IFERROR(VLOOKUP(ENTRADASBODEGA[[#This Row],[CÓDIGO PRODUCTO]],INVENTARIOBODEGA[],3,FALSE),"-")</f>
        <v>LT035</v>
      </c>
      <c r="F162" s="3">
        <v>1</v>
      </c>
    </row>
    <row r="163" spans="1:6" ht="16" x14ac:dyDescent="0.2">
      <c r="A163" s="4">
        <v>160</v>
      </c>
      <c r="B163" s="5">
        <v>45966</v>
      </c>
      <c r="C163" s="18" t="s">
        <v>566</v>
      </c>
      <c r="D163" s="7" t="str">
        <f>IFERROR(VLOOKUP(ENTRADASBODEGA[[#This Row],[CÓDIGO PRODUCTO]],INVENTARIOBODEGA[],2,FALSE),"-")</f>
        <v>CRANKSHAFT 440 VMC 8 CYLINDER</v>
      </c>
      <c r="E163" s="7" t="str">
        <f>IFERROR(VLOOKUP(ENTRADASBODEGA[[#This Row],[CÓDIGO PRODUCTO]],INVENTARIOBODEGA[],3,FALSE),"-")</f>
        <v>LT035</v>
      </c>
      <c r="F163" s="3">
        <v>3</v>
      </c>
    </row>
    <row r="164" spans="1:6" ht="16" x14ac:dyDescent="0.2">
      <c r="A164" s="4">
        <v>161</v>
      </c>
      <c r="B164" s="5">
        <v>45966</v>
      </c>
      <c r="C164" s="18" t="s">
        <v>567</v>
      </c>
      <c r="D164" s="7" t="str">
        <f>IFERROR(VLOOKUP(ENTRADASBODEGA[[#This Row],[CÓDIGO PRODUCTO]],INVENTARIOBODEGA[],2,FALSE),"-")</f>
        <v xml:space="preserve">CRANKSHAFT 450 XL 4 CYLINDER </v>
      </c>
      <c r="E164" s="7" t="str">
        <f>IFERROR(VLOOKUP(ENTRADASBODEGA[[#This Row],[CÓDIGO PRODUCTO]],INVENTARIOBODEGA[],3,FALSE),"-")</f>
        <v>LT035</v>
      </c>
      <c r="F164" s="3">
        <v>1</v>
      </c>
    </row>
    <row r="165" spans="1:6" ht="16" x14ac:dyDescent="0.2">
      <c r="A165" s="4">
        <v>162</v>
      </c>
      <c r="B165" s="5">
        <v>45966</v>
      </c>
      <c r="C165" s="18" t="s">
        <v>568</v>
      </c>
      <c r="D165" s="7" t="str">
        <f>IFERROR(VLOOKUP(ENTRADASBODEGA[[#This Row],[CÓDIGO PRODUCTO]],INVENTARIOBODEGA[],2,FALSE),"-")</f>
        <v>CRANKSHAFT 450 XL 6 CYLINDER</v>
      </c>
      <c r="E165" s="7" t="str">
        <f>IFERROR(VLOOKUP(ENTRADASBODEGA[[#This Row],[CÓDIGO PRODUCTO]],INVENTARIOBODEGA[],3,FALSE),"-")</f>
        <v>LT035</v>
      </c>
      <c r="F165" s="3">
        <v>3</v>
      </c>
    </row>
    <row r="166" spans="1:6" ht="16" x14ac:dyDescent="0.2">
      <c r="A166" s="4">
        <v>163</v>
      </c>
      <c r="B166" s="5">
        <v>45966</v>
      </c>
      <c r="C166" s="18" t="s">
        <v>569</v>
      </c>
      <c r="D166" s="7" t="str">
        <f>IFERROR(VLOOKUP(ENTRADASBODEGA[[#This Row],[CÓDIGO PRODUCTO]],INVENTARIOBODEGA[],2,FALSE),"-")</f>
        <v>CYLINDER LINER KIT (W/UNLOADING) 440 VMC</v>
      </c>
      <c r="E166" s="7" t="str">
        <f>IFERROR(VLOOKUP(ENTRADASBODEGA[[#This Row],[CÓDIGO PRODUCTO]],INVENTARIOBODEGA[],3,FALSE),"-")</f>
        <v>LT016</v>
      </c>
      <c r="F166" s="3">
        <v>50</v>
      </c>
    </row>
    <row r="167" spans="1:6" ht="16" x14ac:dyDescent="0.2">
      <c r="A167" s="4">
        <v>164</v>
      </c>
      <c r="B167" s="5">
        <v>45966</v>
      </c>
      <c r="C167" s="18" t="s">
        <v>570</v>
      </c>
      <c r="D167" s="7" t="str">
        <f>IFERROR(VLOOKUP(ENTRADASBODEGA[[#This Row],[CÓDIGO PRODUCTO]],INVENTARIOBODEGA[],2,FALSE),"-")</f>
        <v>GASKET 160 VLD MYCOM WITH O RING SET</v>
      </c>
      <c r="E167" s="7" t="str">
        <f>IFERROR(VLOOKUP(ENTRADASBODEGA[[#This Row],[CÓDIGO PRODUCTO]],INVENTARIOBODEGA[],3,FALSE),"-")</f>
        <v>LT036</v>
      </c>
      <c r="F167" s="3">
        <v>3</v>
      </c>
    </row>
    <row r="168" spans="1:6" ht="16" x14ac:dyDescent="0.2">
      <c r="A168" s="4">
        <v>165</v>
      </c>
      <c r="B168" s="5">
        <v>45966</v>
      </c>
      <c r="C168" s="18" t="s">
        <v>571</v>
      </c>
      <c r="D168" s="7" t="str">
        <f>IFERROR(VLOOKUP(ENTRADASBODEGA[[#This Row],[CÓDIGO PRODUCTO]],INVENTARIOBODEGA[],2,FALSE),"-")</f>
        <v>GASKET 200 VLD MYCOM WITH O RING SET</v>
      </c>
      <c r="E168" s="7" t="str">
        <f>IFERROR(VLOOKUP(ENTRADASBODEGA[[#This Row],[CÓDIGO PRODUCTO]],INVENTARIOBODEGA[],3,FALSE),"-")</f>
        <v>LT036</v>
      </c>
      <c r="F168" s="3">
        <v>3</v>
      </c>
    </row>
    <row r="169" spans="1:6" ht="16" x14ac:dyDescent="0.2">
      <c r="A169" s="4">
        <v>166</v>
      </c>
      <c r="B169" s="5">
        <v>45966</v>
      </c>
      <c r="C169" s="18" t="s">
        <v>572</v>
      </c>
      <c r="D169" s="7" t="str">
        <f>IFERROR(VLOOKUP(ENTRADASBODEGA[[#This Row],[CÓDIGO PRODUCTO]],INVENTARIOBODEGA[],2,FALSE),"-")</f>
        <v>GASKET KIT</v>
      </c>
      <c r="E169" s="7" t="str">
        <f>IFERROR(VLOOKUP(ENTRADASBODEGA[[#This Row],[CÓDIGO PRODUCTO]],INVENTARIOBODEGA[],3,FALSE),"-")</f>
        <v>LT036</v>
      </c>
      <c r="F169" s="3">
        <v>20</v>
      </c>
    </row>
    <row r="170" spans="1:6" ht="16" x14ac:dyDescent="0.2">
      <c r="A170" s="4">
        <v>167</v>
      </c>
      <c r="B170" s="5">
        <v>45966</v>
      </c>
      <c r="C170" s="18" t="s">
        <v>573</v>
      </c>
      <c r="D170" s="7" t="str">
        <f>IFERROR(VLOOKUP(ENTRADASBODEGA[[#This Row],[CÓDIGO PRODUCTO]],INVENTARIOBODEGA[],2,FALSE),"-")</f>
        <v>OIL PUMP DRIVE FORK CRANKSHAFT FIT VILTER 440</v>
      </c>
      <c r="E170" s="7" t="str">
        <f>IFERROR(VLOOKUP(ENTRADASBODEGA[[#This Row],[CÓDIGO PRODUCTO]],INVENTARIOBODEGA[],3,FALSE),"-")</f>
        <v>LT037</v>
      </c>
      <c r="F170" s="3">
        <v>50</v>
      </c>
    </row>
    <row r="171" spans="1:6" ht="16" x14ac:dyDescent="0.2">
      <c r="A171" s="4">
        <v>168</v>
      </c>
      <c r="B171" s="5">
        <v>45966</v>
      </c>
      <c r="C171" s="18" t="s">
        <v>574</v>
      </c>
      <c r="D171" s="7" t="str">
        <f>IFERROR(VLOOKUP(ENTRADASBODEGA[[#This Row],[CÓDIGO PRODUCTO]],INVENTARIOBODEGA[],2,FALSE),"-")</f>
        <v>OIL PUMP REPAIR KIT</v>
      </c>
      <c r="E171" s="7" t="str">
        <f>IFERROR(VLOOKUP(ENTRADASBODEGA[[#This Row],[CÓDIGO PRODUCTO]],INVENTARIOBODEGA[],3,FALSE),"-")</f>
        <v>LT037</v>
      </c>
      <c r="F171" s="3">
        <v>5</v>
      </c>
    </row>
    <row r="172" spans="1:6" ht="16" x14ac:dyDescent="0.2">
      <c r="A172" s="4">
        <v>169</v>
      </c>
      <c r="B172" s="5">
        <v>45966</v>
      </c>
      <c r="C172" s="18" t="s">
        <v>575</v>
      </c>
      <c r="D172" s="7" t="str">
        <f>IFERROR(VLOOKUP(ENTRADASBODEGA[[#This Row],[CÓDIGO PRODUCTO]],INVENTARIOBODEGA[],2,FALSE),"-")</f>
        <v>PISTON PIN</v>
      </c>
      <c r="E172" s="7" t="str">
        <f>IFERROR(VLOOKUP(ENTRADASBODEGA[[#This Row],[CÓDIGO PRODUCTO]],INVENTARIOBODEGA[],3,FALSE),"-")</f>
        <v>LT006</v>
      </c>
      <c r="F172" s="3">
        <v>50</v>
      </c>
    </row>
    <row r="173" spans="1:6" ht="16" x14ac:dyDescent="0.2">
      <c r="A173" s="4">
        <v>170</v>
      </c>
      <c r="B173" s="5">
        <v>45966</v>
      </c>
      <c r="C173" s="18" t="s">
        <v>576</v>
      </c>
      <c r="D173" s="7" t="str">
        <f>IFERROR(VLOOKUP(ENTRADASBODEGA[[#This Row],[CÓDIGO PRODUCTO]],INVENTARIOBODEGA[],2,FALSE),"-")</f>
        <v>PISTON RINGS AND PIN KIT</v>
      </c>
      <c r="E173" s="7" t="str">
        <f>IFERROR(VLOOKUP(ENTRADASBODEGA[[#This Row],[CÓDIGO PRODUCTO]],INVENTARIOBODEGA[],3,FALSE),"-")</f>
        <v>LT006</v>
      </c>
      <c r="F173" s="3">
        <v>50</v>
      </c>
    </row>
    <row r="174" spans="1:6" ht="16" x14ac:dyDescent="0.2">
      <c r="A174" s="4">
        <v>171</v>
      </c>
      <c r="B174" s="5">
        <v>45966</v>
      </c>
      <c r="C174" s="18" t="s">
        <v>577</v>
      </c>
      <c r="D174" s="7" t="str">
        <f>IFERROR(VLOOKUP(ENTRADASBODEGA[[#This Row],[CÓDIGO PRODUCTO]],INVENTARIOBODEGA[],2,FALSE),"-")</f>
        <v>PLATE SUCTION VALVE</v>
      </c>
      <c r="E174" s="7" t="str">
        <f>IFERROR(VLOOKUP(ENTRADASBODEGA[[#This Row],[CÓDIGO PRODUCTO]],INVENTARIOBODEGA[],3,FALSE),"-")</f>
        <v>LT005</v>
      </c>
      <c r="F174" s="3">
        <v>100</v>
      </c>
    </row>
    <row r="175" spans="1:6" ht="16" x14ac:dyDescent="0.2">
      <c r="A175" s="4">
        <v>172</v>
      </c>
      <c r="B175" s="5">
        <v>45966</v>
      </c>
      <c r="C175" s="18" t="s">
        <v>578</v>
      </c>
      <c r="D175" s="7" t="str">
        <f>IFERROR(VLOOKUP(ENTRADASBODEGA[[#This Row],[CÓDIGO PRODUCTO]],INVENTARIOBODEGA[],2,FALSE),"-")</f>
        <v xml:space="preserve">RING SET PISTON </v>
      </c>
      <c r="E175" s="7" t="str">
        <f>IFERROR(VLOOKUP(ENTRADASBODEGA[[#This Row],[CÓDIGO PRODUCTO]],INVENTARIOBODEGA[],3,FALSE),"-")</f>
        <v>LT018</v>
      </c>
      <c r="F175" s="3">
        <v>50</v>
      </c>
    </row>
    <row r="176" spans="1:6" ht="16" x14ac:dyDescent="0.2">
      <c r="A176" s="4">
        <v>173</v>
      </c>
      <c r="B176" s="5">
        <v>45966</v>
      </c>
      <c r="C176" s="18" t="s">
        <v>579</v>
      </c>
      <c r="D176" s="7" t="str">
        <f>IFERROR(VLOOKUP(ENTRADASBODEGA[[#This Row],[CÓDIGO PRODUCTO]],INVENTARIOBODEGA[],2,FALSE),"-")</f>
        <v>SAFETY HEAD &amp; PINS ASSEMBLY AMMONIA 450 XL</v>
      </c>
      <c r="E176" s="7" t="str">
        <f>IFERROR(VLOOKUP(ENTRADASBODEGA[[#This Row],[CÓDIGO PRODUCTO]],INVENTARIOBODEGA[],3,FALSE),"-")</f>
        <v>LT024</v>
      </c>
      <c r="F176" s="3">
        <v>20</v>
      </c>
    </row>
    <row r="177" spans="1:6" ht="16" x14ac:dyDescent="0.2">
      <c r="A177" s="4">
        <v>174</v>
      </c>
      <c r="B177" s="5">
        <v>45966</v>
      </c>
      <c r="C177" s="18" t="s">
        <v>580</v>
      </c>
      <c r="D177" s="7" t="str">
        <f>IFERROR(VLOOKUP(ENTRADASBODEGA[[#This Row],[CÓDIGO PRODUCTO]],INVENTARIOBODEGA[],2,FALSE),"-")</f>
        <v>SAFETY HEAD AMMONIA 440 VMC</v>
      </c>
      <c r="E177" s="7" t="str">
        <f>IFERROR(VLOOKUP(ENTRADASBODEGA[[#This Row],[CÓDIGO PRODUCTO]],INVENTARIOBODEGA[],3,FALSE),"-")</f>
        <v>LT024</v>
      </c>
      <c r="F177" s="3">
        <v>16</v>
      </c>
    </row>
    <row r="178" spans="1:6" ht="16" x14ac:dyDescent="0.2">
      <c r="A178" s="4">
        <v>175</v>
      </c>
      <c r="B178" s="5">
        <v>45966</v>
      </c>
      <c r="C178" s="18" t="s">
        <v>581</v>
      </c>
      <c r="D178" s="7" t="str">
        <f>IFERROR(VLOOKUP(ENTRADASBODEGA[[#This Row],[CÓDIGO PRODUCTO]],INVENTARIOBODEGA[],2,FALSE),"-")</f>
        <v>SHAFT SEAL &amp; GASKET 3" 450 XL</v>
      </c>
      <c r="E178" s="7" t="str">
        <f>IFERROR(VLOOKUP(ENTRADASBODEGA[[#This Row],[CÓDIGO PRODUCTO]],INVENTARIOBODEGA[],3,FALSE),"-")</f>
        <v>LT038</v>
      </c>
      <c r="F178" s="3">
        <v>10</v>
      </c>
    </row>
    <row r="179" spans="1:6" ht="16" x14ac:dyDescent="0.2">
      <c r="A179" s="4">
        <v>176</v>
      </c>
      <c r="B179" s="5">
        <v>45966</v>
      </c>
      <c r="C179" s="18" t="s">
        <v>582</v>
      </c>
      <c r="D179" s="7" t="str">
        <f>IFERROR(VLOOKUP(ENTRADASBODEGA[[#This Row],[CÓDIGO PRODUCTO]],INVENTARIOBODEGA[],2,FALSE),"-")</f>
        <v>SPRING SAFETY HEAD</v>
      </c>
      <c r="E179" s="7" t="str">
        <f>IFERROR(VLOOKUP(ENTRADASBODEGA[[#This Row],[CÓDIGO PRODUCTO]],INVENTARIOBODEGA[],3,FALSE),"-")</f>
        <v>LT039</v>
      </c>
      <c r="F179" s="3">
        <v>15</v>
      </c>
    </row>
    <row r="180" spans="1:6" ht="16" x14ac:dyDescent="0.2">
      <c r="A180" s="4">
        <v>177</v>
      </c>
      <c r="B180" s="5">
        <v>45966</v>
      </c>
      <c r="C180" s="18" t="s">
        <v>583</v>
      </c>
      <c r="D180" s="7" t="str">
        <f>IFERROR(VLOOKUP(ENTRADASBODEGA[[#This Row],[CÓDIGO PRODUCTO]],INVENTARIOBODEGA[],2,FALSE),"-")</f>
        <v xml:space="preserve">SPRING VALVE </v>
      </c>
      <c r="E180" s="7" t="str">
        <f>IFERROR(VLOOKUP(ENTRADASBODEGA[[#This Row],[CÓDIGO PRODUCTO]],INVENTARIOBODEGA[],3,FALSE),"-")</f>
        <v>LT039</v>
      </c>
      <c r="F180" s="3">
        <v>1000</v>
      </c>
    </row>
    <row r="181" spans="1:6" ht="16" x14ac:dyDescent="0.2">
      <c r="A181" s="4">
        <v>178</v>
      </c>
      <c r="B181" s="5">
        <v>45966</v>
      </c>
      <c r="C181" s="18" t="s">
        <v>584</v>
      </c>
      <c r="D181" s="7" t="str">
        <f>IFERROR(VLOOKUP(ENTRADASBODEGA[[#This Row],[CÓDIGO PRODUCTO]],INVENTARIOBODEGA[],2,FALSE),"-")</f>
        <v>SVA - S 100 A STR STOP VALVE H/W PS52</v>
      </c>
      <c r="E181" s="7" t="str">
        <f>IFERROR(VLOOKUP(ENTRADASBODEGA[[#This Row],[CÓDIGO PRODUCTO]],INVENTARIOBODEGA[],3,FALSE),"-")</f>
        <v>LT040</v>
      </c>
      <c r="F181" s="3">
        <v>6</v>
      </c>
    </row>
    <row r="182" spans="1:6" ht="16" x14ac:dyDescent="0.2">
      <c r="A182" s="4">
        <v>179</v>
      </c>
      <c r="B182" s="5">
        <v>45966</v>
      </c>
      <c r="C182" s="18" t="s">
        <v>585</v>
      </c>
      <c r="D182" s="7" t="str">
        <f>IFERROR(VLOOKUP(ENTRADASBODEGA[[#This Row],[CÓDIGO PRODUCTO]],INVENTARIOBODEGA[],2,FALSE),"-")</f>
        <v>SVA - S 150 A STR STOP VALVE H/W PS52</v>
      </c>
      <c r="E182" s="7" t="str">
        <f>IFERROR(VLOOKUP(ENTRADASBODEGA[[#This Row],[CÓDIGO PRODUCTO]],INVENTARIOBODEGA[],3,FALSE),"-")</f>
        <v>LT040</v>
      </c>
      <c r="F182" s="3">
        <v>2</v>
      </c>
    </row>
    <row r="183" spans="1:6" ht="16" x14ac:dyDescent="0.2">
      <c r="A183" s="4">
        <v>180</v>
      </c>
      <c r="B183" s="5">
        <v>45966</v>
      </c>
      <c r="C183" s="18" t="s">
        <v>586</v>
      </c>
      <c r="D183" s="7" t="str">
        <f>IFERROR(VLOOKUP(ENTRADASBODEGA[[#This Row],[CÓDIGO PRODUCTO]],INVENTARIOBODEGA[],2,FALSE),"-")</f>
        <v>SVA - S 80 A STR STOP VALVE H/W PS52</v>
      </c>
      <c r="E183" s="7" t="str">
        <f>IFERROR(VLOOKUP(ENTRADASBODEGA[[#This Row],[CÓDIGO PRODUCTO]],INVENTARIOBODEGA[],3,FALSE),"-")</f>
        <v>LT040</v>
      </c>
      <c r="F183" s="3">
        <v>8</v>
      </c>
    </row>
    <row r="184" spans="1:6" ht="16" x14ac:dyDescent="0.2">
      <c r="A184" s="4">
        <v>181</v>
      </c>
      <c r="B184" s="5">
        <v>45966</v>
      </c>
      <c r="C184" s="18" t="s">
        <v>587</v>
      </c>
      <c r="D184" s="7" t="str">
        <f>IFERROR(VLOOKUP(ENTRADASBODEGA[[#This Row],[CÓDIGO PRODUCTO]],INVENTARIOBODEGA[],2,FALSE),"-")</f>
        <v>VALVE DIAPHRAGM DISCHARGE 440 VMC</v>
      </c>
      <c r="E184" s="7" t="str">
        <f>IFERROR(VLOOKUP(ENTRADASBODEGA[[#This Row],[CÓDIGO PRODUCTO]],INVENTARIOBODEGA[],3,FALSE),"-")</f>
        <v>LT005</v>
      </c>
      <c r="F184" s="3">
        <v>150</v>
      </c>
    </row>
    <row r="185" spans="1:6" ht="16" x14ac:dyDescent="0.2">
      <c r="A185" s="4">
        <v>182</v>
      </c>
      <c r="B185" s="5">
        <v>45966</v>
      </c>
      <c r="C185" s="18" t="s">
        <v>588</v>
      </c>
      <c r="D185" s="7" t="str">
        <f>IFERROR(VLOOKUP(ENTRADASBODEGA[[#This Row],[CÓDIGO PRODUCTO]],INVENTARIOBODEGA[],2,FALSE),"-")</f>
        <v>VILTER STEDY - MOUNT</v>
      </c>
      <c r="E185" s="7" t="str">
        <f>IFERROR(VLOOKUP(ENTRADASBODEGA[[#This Row],[CÓDIGO PRODUCTO]],INVENTARIOBODEGA[],3,FALSE),"-")</f>
        <v>LT041</v>
      </c>
      <c r="F185" s="3">
        <v>15</v>
      </c>
    </row>
    <row r="186" spans="1:6" ht="16" x14ac:dyDescent="0.2">
      <c r="A186" s="4">
        <v>183</v>
      </c>
      <c r="B186" s="5">
        <v>45966</v>
      </c>
      <c r="C186" s="18" t="s">
        <v>589</v>
      </c>
      <c r="D186" s="7" t="str">
        <f>IFERROR(VLOOKUP(ENTRADASBODEGA[[#This Row],[CÓDIGO PRODUCTO]],INVENTARIOBODEGA[],2,FALSE),"-")</f>
        <v>YOKE 440</v>
      </c>
      <c r="E186" s="7" t="str">
        <f>IFERROR(VLOOKUP(ENTRADASBODEGA[[#This Row],[CÓDIGO PRODUCTO]],INVENTARIOBODEGA[],3,FALSE),"-")</f>
        <v>LT022</v>
      </c>
      <c r="F186" s="3">
        <v>10</v>
      </c>
    </row>
    <row r="187" spans="1:6" ht="16" x14ac:dyDescent="0.2">
      <c r="A187" s="4">
        <v>184</v>
      </c>
      <c r="B187" s="5">
        <v>45966</v>
      </c>
      <c r="C187" s="18" t="s">
        <v>590</v>
      </c>
      <c r="D187" s="7" t="str">
        <f>IFERROR(VLOOKUP(ENTRADASBODEGA[[#This Row],[CÓDIGO PRODUCTO]],INVENTARIOBODEGA[],2,FALSE),"-")</f>
        <v>YOKE 450</v>
      </c>
      <c r="E187" s="7" t="str">
        <f>IFERROR(VLOOKUP(ENTRADASBODEGA[[#This Row],[CÓDIGO PRODUCTO]],INVENTARIOBODEGA[],3,FALSE),"-")</f>
        <v>LT022</v>
      </c>
      <c r="F187" s="3">
        <v>4</v>
      </c>
    </row>
    <row r="188" spans="1:6" ht="16" x14ac:dyDescent="0.2">
      <c r="A188" s="4">
        <v>185</v>
      </c>
      <c r="B188" s="5">
        <v>45971</v>
      </c>
      <c r="C188" s="18" t="s">
        <v>785</v>
      </c>
      <c r="D188" s="3" t="str">
        <f>IFERROR(VLOOKUP(ENTRADASBODEGA[[#This Row],[CÓDIGO PRODUCTO]],INVENTARIOBODEGA[],2,FALSE),"-")</f>
        <v>BOMBA DE ACEITE ORIGINAL VILTER</v>
      </c>
      <c r="E188" s="7" t="str">
        <f>IFERROR(VLOOKUP(ENTRADASBODEGA[[#This Row],[CÓDIGO PRODUCTO]],INVENTARIOBODEGA[],3,FALSE),"-")</f>
        <v>LT025</v>
      </c>
      <c r="F188" s="3">
        <v>3</v>
      </c>
    </row>
    <row r="189" spans="1:6" x14ac:dyDescent="0.2">
      <c r="A189" s="4"/>
      <c r="B189" s="5"/>
      <c r="C189" s="18"/>
      <c r="D189" s="3" t="str">
        <f>IFERROR(VLOOKUP(ENTRADASBODEGA[[#This Row],[CÓDIGO PRODUCTO]],INVENTARIOBODEGA[],2,FALSE),"-")</f>
        <v>-</v>
      </c>
      <c r="E189" s="7" t="str">
        <f>IFERROR(VLOOKUP(ENTRADASBODEGA[[#This Row],[CÓDIGO PRODUCTO]],INVENTARIOBODEGA[],3,FALSE),"-")</f>
        <v>-</v>
      </c>
      <c r="F189" s="3"/>
    </row>
    <row r="190" spans="1:6" x14ac:dyDescent="0.2">
      <c r="A190" s="4"/>
      <c r="B190" s="5"/>
      <c r="C190" s="18"/>
      <c r="D190" s="3" t="str">
        <f>IFERROR(VLOOKUP(ENTRADASBODEGA[[#This Row],[CÓDIGO PRODUCTO]],INVENTARIOBODEGA[],2,FALSE),"-")</f>
        <v>-</v>
      </c>
      <c r="E190" s="7" t="str">
        <f>IFERROR(VLOOKUP(ENTRADASBODEGA[[#This Row],[CÓDIGO PRODUCTO]],INVENTARIOBODEGA[],3,FALSE),"-")</f>
        <v>-</v>
      </c>
      <c r="F190" s="3"/>
    </row>
    <row r="191" spans="1:6" x14ac:dyDescent="0.2">
      <c r="A191" s="4"/>
      <c r="B191" s="5"/>
      <c r="C191" s="18"/>
      <c r="D191" s="3" t="str">
        <f>IFERROR(VLOOKUP(ENTRADASBODEGA[[#This Row],[CÓDIGO PRODUCTO]],INVENTARIOBODEGA[],2,FALSE),"-")</f>
        <v>-</v>
      </c>
      <c r="E191" s="7" t="str">
        <f>IFERROR(VLOOKUP(ENTRADASBODEGA[[#This Row],[CÓDIGO PRODUCTO]],INVENTARIOBODEGA[],3,FALSE),"-")</f>
        <v>-</v>
      </c>
      <c r="F191" s="3"/>
    </row>
    <row r="192" spans="1:6" x14ac:dyDescent="0.2">
      <c r="A192" s="4"/>
      <c r="B192" s="5"/>
      <c r="C192" s="18"/>
      <c r="D192" s="3" t="str">
        <f>IFERROR(VLOOKUP(ENTRADASBODEGA[[#This Row],[CÓDIGO PRODUCTO]],INVENTARIOBODEGA[],2,FALSE),"-")</f>
        <v>-</v>
      </c>
      <c r="E192" s="7" t="str">
        <f>IFERROR(VLOOKUP(ENTRADASBODEGA[[#This Row],[CÓDIGO PRODUCTO]],INVENTARIOBODEGA[],3,FALSE),"-")</f>
        <v>-</v>
      </c>
      <c r="F192" s="3"/>
    </row>
    <row r="193" spans="1:6" x14ac:dyDescent="0.2">
      <c r="A193" s="4"/>
      <c r="B193" s="5"/>
      <c r="C193" s="18"/>
      <c r="D193" s="3" t="str">
        <f>IFERROR(VLOOKUP(ENTRADASBODEGA[[#This Row],[CÓDIGO PRODUCTO]],INVENTARIOBODEGA[],2,FALSE),"-")</f>
        <v>-</v>
      </c>
      <c r="E193" s="7" t="str">
        <f>IFERROR(VLOOKUP(ENTRADASBODEGA[[#This Row],[CÓDIGO PRODUCTO]],INVENTARIOBODEGA[],3,FALSE),"-")</f>
        <v>-</v>
      </c>
      <c r="F193" s="3"/>
    </row>
    <row r="194" spans="1:6" x14ac:dyDescent="0.2">
      <c r="A194" s="4"/>
      <c r="B194" s="5"/>
      <c r="C194" s="18"/>
      <c r="D194" s="3" t="str">
        <f>IFERROR(VLOOKUP(ENTRADASBODEGA[[#This Row],[CÓDIGO PRODUCTO]],INVENTARIOBODEGA[],2,FALSE),"-")</f>
        <v>-</v>
      </c>
      <c r="E194" s="7" t="str">
        <f>IFERROR(VLOOKUP(ENTRADASBODEGA[[#This Row],[CÓDIGO PRODUCTO]],INVENTARIOBODEGA[],3,FALSE),"-")</f>
        <v>-</v>
      </c>
      <c r="F194" s="3"/>
    </row>
    <row r="195" spans="1:6" x14ac:dyDescent="0.2">
      <c r="A195" s="4"/>
      <c r="B195" s="5"/>
      <c r="C195" s="18"/>
      <c r="D195" s="3" t="str">
        <f>IFERROR(VLOOKUP(ENTRADASBODEGA[[#This Row],[CÓDIGO PRODUCTO]],INVENTARIOBODEGA[],2,FALSE),"-")</f>
        <v>-</v>
      </c>
      <c r="E195" s="7" t="str">
        <f>IFERROR(VLOOKUP(ENTRADASBODEGA[[#This Row],[CÓDIGO PRODUCTO]],INVENTARIOBODEGA[],3,FALSE),"-")</f>
        <v>-</v>
      </c>
      <c r="F195" s="3"/>
    </row>
    <row r="196" spans="1:6" x14ac:dyDescent="0.2">
      <c r="A196" s="4"/>
      <c r="B196" s="5"/>
      <c r="C196" s="18"/>
      <c r="D196" s="3" t="str">
        <f>IFERROR(VLOOKUP(ENTRADASBODEGA[[#This Row],[CÓDIGO PRODUCTO]],INVENTARIOBODEGA[],2,FALSE),"-")</f>
        <v>-</v>
      </c>
      <c r="E196" s="7" t="str">
        <f>IFERROR(VLOOKUP(ENTRADASBODEGA[[#This Row],[CÓDIGO PRODUCTO]],INVENTARIOBODEGA[],3,FALSE),"-")</f>
        <v>-</v>
      </c>
      <c r="F196" s="3"/>
    </row>
    <row r="197" spans="1:6" x14ac:dyDescent="0.2">
      <c r="A197" s="4"/>
      <c r="B197" s="5"/>
      <c r="C197" s="18"/>
      <c r="D197" s="3" t="str">
        <f>IFERROR(VLOOKUP(ENTRADASBODEGA[[#This Row],[CÓDIGO PRODUCTO]],INVENTARIOBODEGA[],2,FALSE),"-")</f>
        <v>-</v>
      </c>
      <c r="E197" s="7" t="str">
        <f>IFERROR(VLOOKUP(ENTRADASBODEGA[[#This Row],[CÓDIGO PRODUCTO]],INVENTARIOBODEGA[],3,FALSE),"-")</f>
        <v>-</v>
      </c>
      <c r="F197" s="3"/>
    </row>
    <row r="198" spans="1:6" x14ac:dyDescent="0.2">
      <c r="A198" s="4"/>
      <c r="B198" s="5"/>
      <c r="C198" s="18"/>
      <c r="D198" s="3" t="str">
        <f>IFERROR(VLOOKUP(ENTRADASBODEGA[[#This Row],[CÓDIGO PRODUCTO]],INVENTARIOBODEGA[],2,FALSE),"-")</f>
        <v>-</v>
      </c>
      <c r="E198" s="7" t="str">
        <f>IFERROR(VLOOKUP(ENTRADASBODEGA[[#This Row],[CÓDIGO PRODUCTO]],INVENTARIOBODEGA[],3,FALSE),"-")</f>
        <v>-</v>
      </c>
      <c r="F198" s="3"/>
    </row>
    <row r="199" spans="1:6" x14ac:dyDescent="0.2">
      <c r="A199" s="4"/>
      <c r="B199" s="5"/>
      <c r="C199" s="18"/>
      <c r="D199" s="3" t="str">
        <f>IFERROR(VLOOKUP(ENTRADASBODEGA[[#This Row],[CÓDIGO PRODUCTO]],INVENTARIOBODEGA[],2,FALSE),"-")</f>
        <v>-</v>
      </c>
      <c r="E199" s="7" t="str">
        <f>IFERROR(VLOOKUP(ENTRADASBODEGA[[#This Row],[CÓDIGO PRODUCTO]],INVENTARIOBODEGA[],3,FALSE),"-")</f>
        <v>-</v>
      </c>
      <c r="F199" s="3"/>
    </row>
    <row r="200" spans="1:6" x14ac:dyDescent="0.2">
      <c r="A200" s="4"/>
      <c r="B200" s="5"/>
      <c r="C200" s="18"/>
      <c r="D200" s="3" t="str">
        <f>IFERROR(VLOOKUP(ENTRADASBODEGA[[#This Row],[CÓDIGO PRODUCTO]],INVENTARIOBODEGA[],2,FALSE),"-")</f>
        <v>-</v>
      </c>
      <c r="E200" s="7" t="str">
        <f>IFERROR(VLOOKUP(ENTRADASBODEGA[[#This Row],[CÓDIGO PRODUCTO]],INVENTARIOBODEGA[],3,FALSE),"-")</f>
        <v>-</v>
      </c>
      <c r="F200" s="3"/>
    </row>
    <row r="201" spans="1:6" x14ac:dyDescent="0.2">
      <c r="A201" s="4"/>
      <c r="B201" s="5"/>
      <c r="C201" s="18"/>
      <c r="D201" s="3" t="str">
        <f>IFERROR(VLOOKUP(ENTRADASBODEGA[[#This Row],[CÓDIGO PRODUCTO]],INVENTARIOBODEGA[],2,FALSE),"-")</f>
        <v>-</v>
      </c>
      <c r="E201" s="7" t="str">
        <f>IFERROR(VLOOKUP(ENTRADASBODEGA[[#This Row],[CÓDIGO PRODUCTO]],INVENTARIOBODEGA[],3,FALSE),"-")</f>
        <v>-</v>
      </c>
      <c r="F201" s="3"/>
    </row>
    <row r="202" spans="1:6" x14ac:dyDescent="0.2">
      <c r="A202" s="4"/>
      <c r="B202" s="5"/>
      <c r="C202" s="18"/>
      <c r="D202" s="7" t="str">
        <f>IFERROR(VLOOKUP(ENTRADASBODEGA[[#This Row],[CÓDIGO PRODUCTO]],INVENTARIOBODEGA[],2,FALSE),"-")</f>
        <v>-</v>
      </c>
      <c r="E202" s="7" t="str">
        <f>IFERROR(VLOOKUP(ENTRADASBODEGA[[#This Row],[CÓDIGO PRODUCTO]],INVENTARIOBODEGA[],3,FALSE),"-")</f>
        <v>-</v>
      </c>
      <c r="F202" s="3"/>
    </row>
    <row r="203" spans="1:6" x14ac:dyDescent="0.2">
      <c r="A203" s="4"/>
      <c r="B203" s="5"/>
      <c r="C203" s="18"/>
      <c r="D203" s="7" t="str">
        <f>IFERROR(VLOOKUP(ENTRADASBODEGA[[#This Row],[CÓDIGO PRODUCTO]],INVENTARIOBODEGA[],2,FALSE),"-")</f>
        <v>-</v>
      </c>
      <c r="E203" s="7" t="str">
        <f>IFERROR(VLOOKUP(ENTRADASBODEGA[[#This Row],[CÓDIGO PRODUCTO]],INVENTARIOBODEGA[],3,FALSE),"-")</f>
        <v>-</v>
      </c>
      <c r="F203" s="3"/>
    </row>
    <row r="204" spans="1:6" x14ac:dyDescent="0.2">
      <c r="A204" s="4"/>
      <c r="B204" s="5"/>
      <c r="C204" s="18"/>
      <c r="D204" s="7" t="str">
        <f>IFERROR(VLOOKUP(ENTRADASBODEGA[[#This Row],[CÓDIGO PRODUCTO]],INVENTARIOBODEGA[],2,FALSE),"-")</f>
        <v>-</v>
      </c>
      <c r="E204" s="7" t="str">
        <f>IFERROR(VLOOKUP(ENTRADASBODEGA[[#This Row],[CÓDIGO PRODUCTO]],INVENTARIOBODEGA[],3,FALSE),"-")</f>
        <v>-</v>
      </c>
      <c r="F204" s="3"/>
    </row>
    <row r="205" spans="1:6" x14ac:dyDescent="0.2">
      <c r="A205" s="4"/>
      <c r="B205" s="5"/>
      <c r="C205" s="18"/>
      <c r="D205" s="7" t="str">
        <f>IFERROR(VLOOKUP(ENTRADASBODEGA[[#This Row],[CÓDIGO PRODUCTO]],INVENTARIOBODEGA[],2,FALSE),"-")</f>
        <v>-</v>
      </c>
      <c r="E205" s="7" t="str">
        <f>IFERROR(VLOOKUP(ENTRADASBODEGA[[#This Row],[CÓDIGO PRODUCTO]],INVENTARIOBODEGA[],3,FALSE),"-")</f>
        <v>-</v>
      </c>
      <c r="F205" s="3"/>
    </row>
    <row r="206" spans="1:6" x14ac:dyDescent="0.2">
      <c r="A206" s="4"/>
      <c r="B206" s="5"/>
      <c r="C206" s="18"/>
      <c r="D206" s="7" t="str">
        <f>IFERROR(VLOOKUP(ENTRADASBODEGA[[#This Row],[CÓDIGO PRODUCTO]],INVENTARIOBODEGA[],2,FALSE),"-")</f>
        <v>-</v>
      </c>
      <c r="E206" s="7" t="str">
        <f>IFERROR(VLOOKUP(ENTRADASBODEGA[[#This Row],[CÓDIGO PRODUCTO]],INVENTARIOBODEGA[],3,FALSE),"-")</f>
        <v>-</v>
      </c>
      <c r="F206" s="3"/>
    </row>
    <row r="207" spans="1:6" x14ac:dyDescent="0.2">
      <c r="A207" s="4"/>
      <c r="B207" s="5"/>
      <c r="C207" s="18"/>
      <c r="D207" s="7" t="str">
        <f>IFERROR(VLOOKUP(ENTRADASBODEGA[[#This Row],[CÓDIGO PRODUCTO]],INVENTARIOBODEGA[],2,FALSE),"-")</f>
        <v>-</v>
      </c>
      <c r="E207" s="7" t="str">
        <f>IFERROR(VLOOKUP(ENTRADASBODEGA[[#This Row],[CÓDIGO PRODUCTO]],INVENTARIOBODEGA[],3,FALSE),"-")</f>
        <v>-</v>
      </c>
      <c r="F207" s="3"/>
    </row>
    <row r="208" spans="1:6" x14ac:dyDescent="0.2">
      <c r="A208" s="4"/>
      <c r="B208" s="5"/>
      <c r="C208" s="18"/>
      <c r="D208" s="7" t="str">
        <f>IFERROR(VLOOKUP(ENTRADASBODEGA[[#This Row],[CÓDIGO PRODUCTO]],INVENTARIOBODEGA[],2,FALSE),"-")</f>
        <v>-</v>
      </c>
      <c r="E208" s="7" t="str">
        <f>IFERROR(VLOOKUP(ENTRADASBODEGA[[#This Row],[CÓDIGO PRODUCTO]],INVENTARIOBODEGA[],3,FALSE),"-")</f>
        <v>-</v>
      </c>
      <c r="F208" s="3"/>
    </row>
    <row r="209" spans="1:6" x14ac:dyDescent="0.2">
      <c r="A209" s="4"/>
      <c r="B209" s="5"/>
      <c r="C209" s="18"/>
      <c r="D209" s="7" t="str">
        <f>IFERROR(VLOOKUP(ENTRADASBODEGA[[#This Row],[CÓDIGO PRODUCTO]],INVENTARIOBODEGA[],2,FALSE),"-")</f>
        <v>-</v>
      </c>
      <c r="E209" s="7" t="str">
        <f>IFERROR(VLOOKUP(ENTRADASBODEGA[[#This Row],[CÓDIGO PRODUCTO]],INVENTARIOBODEGA[],3,FALSE),"-")</f>
        <v>-</v>
      </c>
      <c r="F209" s="3"/>
    </row>
    <row r="210" spans="1:6" x14ac:dyDescent="0.2">
      <c r="A210" s="4"/>
      <c r="B210" s="5"/>
      <c r="C210" s="18"/>
      <c r="D210" s="7" t="str">
        <f>IFERROR(VLOOKUP(ENTRADASBODEGA[[#This Row],[CÓDIGO PRODUCTO]],INVENTARIOBODEGA[],2,FALSE),"-")</f>
        <v>-</v>
      </c>
      <c r="E210" s="7" t="str">
        <f>IFERROR(VLOOKUP(ENTRADASBODEGA[[#This Row],[CÓDIGO PRODUCTO]],INVENTARIOBODEGA[],3,FALSE),"-")</f>
        <v>-</v>
      </c>
      <c r="F210" s="3"/>
    </row>
    <row r="211" spans="1:6" x14ac:dyDescent="0.2">
      <c r="A211" s="4"/>
      <c r="B211" s="5"/>
      <c r="C211" s="18"/>
      <c r="D211" s="7" t="str">
        <f>IFERROR(VLOOKUP(ENTRADASBODEGA[[#This Row],[CÓDIGO PRODUCTO]],INVENTARIOBODEGA[],2,FALSE),"-")</f>
        <v>-</v>
      </c>
      <c r="E211" s="7" t="str">
        <f>IFERROR(VLOOKUP(ENTRADASBODEGA[[#This Row],[CÓDIGO PRODUCTO]],INVENTARIOBODEGA[],3,FALSE),"-")</f>
        <v>-</v>
      </c>
      <c r="F211" s="3"/>
    </row>
    <row r="212" spans="1:6" x14ac:dyDescent="0.2">
      <c r="A212" s="4"/>
      <c r="B212" s="5"/>
      <c r="C212" s="18"/>
      <c r="D212" s="7" t="str">
        <f>IFERROR(VLOOKUP(ENTRADASBODEGA[[#This Row],[CÓDIGO PRODUCTO]],INVENTARIOBODEGA[],2,FALSE),"-")</f>
        <v>-</v>
      </c>
      <c r="E212" s="7" t="str">
        <f>IFERROR(VLOOKUP(ENTRADASBODEGA[[#This Row],[CÓDIGO PRODUCTO]],INVENTARIOBODEGA[],3,FALSE),"-")</f>
        <v>-</v>
      </c>
      <c r="F212" s="3"/>
    </row>
    <row r="213" spans="1:6" x14ac:dyDescent="0.2">
      <c r="A213" s="4"/>
      <c r="B213" s="5"/>
      <c r="C213" s="18"/>
      <c r="D213" s="7" t="str">
        <f>IFERROR(VLOOKUP(ENTRADASBODEGA[[#This Row],[CÓDIGO PRODUCTO]],INVENTARIOBODEGA[],2,FALSE),"-")</f>
        <v>-</v>
      </c>
      <c r="E213" s="7" t="str">
        <f>IFERROR(VLOOKUP(ENTRADASBODEGA[[#This Row],[CÓDIGO PRODUCTO]],INVENTARIOBODEGA[],3,FALSE),"-")</f>
        <v>-</v>
      </c>
      <c r="F213" s="3"/>
    </row>
    <row r="214" spans="1:6" x14ac:dyDescent="0.2">
      <c r="A214" s="4"/>
      <c r="B214" s="5"/>
      <c r="C214" s="18"/>
      <c r="D214" s="7" t="str">
        <f>IFERROR(VLOOKUP(ENTRADASBODEGA[[#This Row],[CÓDIGO PRODUCTO]],INVENTARIOBODEGA[],2,FALSE),"-")</f>
        <v>-</v>
      </c>
      <c r="E214" s="7" t="str">
        <f>IFERROR(VLOOKUP(ENTRADASBODEGA[[#This Row],[CÓDIGO PRODUCTO]],INVENTARIOBODEGA[],3,FALSE),"-")</f>
        <v>-</v>
      </c>
      <c r="F214" s="3"/>
    </row>
    <row r="215" spans="1:6" x14ac:dyDescent="0.2">
      <c r="A215" s="4"/>
      <c r="B215" s="5"/>
      <c r="C215" s="18"/>
      <c r="D215" s="7" t="str">
        <f>IFERROR(VLOOKUP(ENTRADASBODEGA[[#This Row],[CÓDIGO PRODUCTO]],INVENTARIOBODEGA[],2,FALSE),"-")</f>
        <v>-</v>
      </c>
      <c r="E215" s="7" t="str">
        <f>IFERROR(VLOOKUP(ENTRADASBODEGA[[#This Row],[CÓDIGO PRODUCTO]],INVENTARIOBODEGA[],3,FALSE),"-")</f>
        <v>-</v>
      </c>
      <c r="F215" s="3"/>
    </row>
    <row r="216" spans="1:6" x14ac:dyDescent="0.2">
      <c r="A216" s="4"/>
      <c r="B216" s="5"/>
      <c r="C216" s="18"/>
      <c r="D216" s="7" t="str">
        <f>IFERROR(VLOOKUP(ENTRADASBODEGA[[#This Row],[CÓDIGO PRODUCTO]],INVENTARIOBODEGA[],2,FALSE),"-")</f>
        <v>-</v>
      </c>
      <c r="E216" s="7" t="str">
        <f>IFERROR(VLOOKUP(ENTRADASBODEGA[[#This Row],[CÓDIGO PRODUCTO]],INVENTARIOBODEGA[],3,FALSE),"-")</f>
        <v>-</v>
      </c>
      <c r="F216" s="3"/>
    </row>
    <row r="217" spans="1:6" x14ac:dyDescent="0.2">
      <c r="A217" s="4"/>
      <c r="B217" s="5"/>
      <c r="C217" s="18"/>
      <c r="D217" s="7" t="str">
        <f>IFERROR(VLOOKUP(ENTRADASBODEGA[[#This Row],[CÓDIGO PRODUCTO]],INVENTARIOBODEGA[],2,FALSE),"-")</f>
        <v>-</v>
      </c>
      <c r="E217" s="7" t="str">
        <f>IFERROR(VLOOKUP(ENTRADASBODEGA[[#This Row],[CÓDIGO PRODUCTO]],INVENTARIOBODEGA[],3,FALSE),"-")</f>
        <v>-</v>
      </c>
      <c r="F217" s="3"/>
    </row>
    <row r="218" spans="1:6" x14ac:dyDescent="0.2">
      <c r="A218" s="4"/>
      <c r="B218" s="5"/>
      <c r="C218" s="18"/>
      <c r="D218" s="7" t="str">
        <f>IFERROR(VLOOKUP(ENTRADASBODEGA[[#This Row],[CÓDIGO PRODUCTO]],INVENTARIOBODEGA[],2,FALSE),"-")</f>
        <v>-</v>
      </c>
      <c r="E218" s="7" t="str">
        <f>IFERROR(VLOOKUP(ENTRADASBODEGA[[#This Row],[CÓDIGO PRODUCTO]],INVENTARIOBODEGA[],3,FALSE),"-")</f>
        <v>-</v>
      </c>
      <c r="F218" s="3"/>
    </row>
    <row r="219" spans="1:6" x14ac:dyDescent="0.2">
      <c r="A219" s="4"/>
      <c r="B219" s="5"/>
      <c r="C219" s="18"/>
      <c r="D219" s="7" t="str">
        <f>IFERROR(VLOOKUP(ENTRADASBODEGA[[#This Row],[CÓDIGO PRODUCTO]],INVENTARIOBODEGA[],2,FALSE),"-")</f>
        <v>-</v>
      </c>
      <c r="E219" s="7" t="str">
        <f>IFERROR(VLOOKUP(ENTRADASBODEGA[[#This Row],[CÓDIGO PRODUCTO]],INVENTARIOBODEGA[],3,FALSE),"-")</f>
        <v>-</v>
      </c>
      <c r="F219" s="3"/>
    </row>
    <row r="220" spans="1:6" x14ac:dyDescent="0.2">
      <c r="A220" s="4"/>
      <c r="B220" s="5"/>
      <c r="C220" s="18"/>
      <c r="D220" s="7" t="str">
        <f>IFERROR(VLOOKUP(ENTRADASBODEGA[[#This Row],[CÓDIGO PRODUCTO]],INVENTARIOBODEGA[],2,FALSE),"-")</f>
        <v>-</v>
      </c>
      <c r="E220" s="7" t="str">
        <f>IFERROR(VLOOKUP(ENTRADASBODEGA[[#This Row],[CÓDIGO PRODUCTO]],INVENTARIOBODEGA[],3,FALSE),"-")</f>
        <v>-</v>
      </c>
      <c r="F220" s="3"/>
    </row>
    <row r="221" spans="1:6" x14ac:dyDescent="0.2">
      <c r="A221" s="4"/>
      <c r="B221" s="5"/>
      <c r="C221" s="18"/>
      <c r="D221" s="7" t="str">
        <f>IFERROR(VLOOKUP(ENTRADASBODEGA[[#This Row],[CÓDIGO PRODUCTO]],INVENTARIOBODEGA[],2,FALSE),"-")</f>
        <v>-</v>
      </c>
      <c r="E221" s="7" t="str">
        <f>IFERROR(VLOOKUP(ENTRADASBODEGA[[#This Row],[CÓDIGO PRODUCTO]],INVENTARIOBODEGA[],3,FALSE),"-")</f>
        <v>-</v>
      </c>
      <c r="F221" s="3"/>
    </row>
    <row r="222" spans="1:6" x14ac:dyDescent="0.2">
      <c r="A222" s="4"/>
      <c r="B222" s="5"/>
      <c r="C222" s="18"/>
      <c r="D222" s="7" t="str">
        <f>IFERROR(VLOOKUP(ENTRADASBODEGA[[#This Row],[CÓDIGO PRODUCTO]],INVENTARIOBODEGA[],2,FALSE),"-")</f>
        <v>-</v>
      </c>
      <c r="E222" s="7" t="str">
        <f>IFERROR(VLOOKUP(ENTRADASBODEGA[[#This Row],[CÓDIGO PRODUCTO]],INVENTARIOBODEGA[],3,FALSE),"-")</f>
        <v>-</v>
      </c>
      <c r="F222" s="3"/>
    </row>
    <row r="223" spans="1:6" x14ac:dyDescent="0.2">
      <c r="A223" s="4"/>
      <c r="B223" s="5"/>
      <c r="C223" s="18"/>
      <c r="D223" s="7" t="str">
        <f>IFERROR(VLOOKUP(ENTRADASBODEGA[[#This Row],[CÓDIGO PRODUCTO]],INVENTARIOBODEGA[],2,FALSE),"-")</f>
        <v>-</v>
      </c>
      <c r="E223" s="7" t="str">
        <f>IFERROR(VLOOKUP(ENTRADASBODEGA[[#This Row],[CÓDIGO PRODUCTO]],INVENTARIOBODEGA[],3,FALSE),"-")</f>
        <v>-</v>
      </c>
      <c r="F223" s="3"/>
    </row>
    <row r="224" spans="1:6" x14ac:dyDescent="0.2">
      <c r="A224" s="4"/>
      <c r="B224" s="5"/>
      <c r="C224" s="18"/>
      <c r="D224" s="7" t="str">
        <f>IFERROR(VLOOKUP(ENTRADASBODEGA[[#This Row],[CÓDIGO PRODUCTO]],INVENTARIOBODEGA[],2,FALSE),"-")</f>
        <v>-</v>
      </c>
      <c r="E224" s="7" t="str">
        <f>IFERROR(VLOOKUP(ENTRADASBODEGA[[#This Row],[CÓDIGO PRODUCTO]],INVENTARIOBODEGA[],3,FALSE),"-")</f>
        <v>-</v>
      </c>
      <c r="F224" s="3"/>
    </row>
    <row r="225" spans="1:6" x14ac:dyDescent="0.2">
      <c r="A225" s="4"/>
      <c r="B225" s="5"/>
      <c r="C225" s="18"/>
      <c r="D225" s="7" t="str">
        <f>IFERROR(VLOOKUP(ENTRADASBODEGA[[#This Row],[CÓDIGO PRODUCTO]],INVENTARIOBODEGA[],2,FALSE),"-")</f>
        <v>-</v>
      </c>
      <c r="E225" s="7" t="str">
        <f>IFERROR(VLOOKUP(ENTRADASBODEGA[[#This Row],[CÓDIGO PRODUCTO]],INVENTARIOBODEGA[],3,FALSE),"-")</f>
        <v>-</v>
      </c>
      <c r="F225" s="3"/>
    </row>
    <row r="226" spans="1:6" x14ac:dyDescent="0.2">
      <c r="A226" s="4"/>
      <c r="B226" s="5"/>
      <c r="C226" s="18"/>
      <c r="D226" s="7" t="str">
        <f>IFERROR(VLOOKUP(ENTRADASBODEGA[[#This Row],[CÓDIGO PRODUCTO]],INVENTARIOBODEGA[],2,FALSE),"-")</f>
        <v>-</v>
      </c>
      <c r="E226" s="7" t="str">
        <f>IFERROR(VLOOKUP(ENTRADASBODEGA[[#This Row],[CÓDIGO PRODUCTO]],INVENTARIOBODEGA[],3,FALSE),"-")</f>
        <v>-</v>
      </c>
      <c r="F226" s="3"/>
    </row>
    <row r="227" spans="1:6" x14ac:dyDescent="0.2">
      <c r="A227" s="4"/>
      <c r="B227" s="5"/>
      <c r="C227" s="18"/>
      <c r="D227" s="7" t="str">
        <f>IFERROR(VLOOKUP(ENTRADASBODEGA[[#This Row],[CÓDIGO PRODUCTO]],INVENTARIOBODEGA[],2,FALSE),"-")</f>
        <v>-</v>
      </c>
      <c r="E227" s="7" t="str">
        <f>IFERROR(VLOOKUP(ENTRADASBODEGA[[#This Row],[CÓDIGO PRODUCTO]],INVENTARIOBODEGA[],3,FALSE),"-")</f>
        <v>-</v>
      </c>
      <c r="F227" s="3"/>
    </row>
    <row r="228" spans="1:6" x14ac:dyDescent="0.2">
      <c r="A228" s="4"/>
      <c r="B228" s="5"/>
      <c r="C228" s="18"/>
      <c r="D228" s="7" t="str">
        <f>IFERROR(VLOOKUP(ENTRADASBODEGA[[#This Row],[CÓDIGO PRODUCTO]],INVENTARIOBODEGA[],2,FALSE),"-")</f>
        <v>-</v>
      </c>
      <c r="E228" s="7" t="str">
        <f>IFERROR(VLOOKUP(ENTRADASBODEGA[[#This Row],[CÓDIGO PRODUCTO]],INVENTARIOBODEGA[],3,FALSE),"-")</f>
        <v>-</v>
      </c>
      <c r="F228" s="3"/>
    </row>
    <row r="229" spans="1:6" x14ac:dyDescent="0.2">
      <c r="A229" s="4"/>
      <c r="B229" s="5"/>
      <c r="C229" s="18"/>
      <c r="D229" s="7" t="str">
        <f>IFERROR(VLOOKUP(ENTRADASBODEGA[[#This Row],[CÓDIGO PRODUCTO]],INVENTARIOBODEGA[],2,FALSE),"-")</f>
        <v>-</v>
      </c>
      <c r="E229" s="7" t="str">
        <f>IFERROR(VLOOKUP(ENTRADASBODEGA[[#This Row],[CÓDIGO PRODUCTO]],INVENTARIOBODEGA[],3,FALSE),"-")</f>
        <v>-</v>
      </c>
      <c r="F229" s="3"/>
    </row>
    <row r="230" spans="1:6" x14ac:dyDescent="0.2">
      <c r="A230" s="4"/>
      <c r="B230" s="5"/>
      <c r="C230" s="18"/>
      <c r="D230" s="7" t="str">
        <f>IFERROR(VLOOKUP(ENTRADASBODEGA[[#This Row],[CÓDIGO PRODUCTO]],INVENTARIOBODEGA[],2,FALSE),"-")</f>
        <v>-</v>
      </c>
      <c r="E230" s="7" t="str">
        <f>IFERROR(VLOOKUP(ENTRADASBODEGA[[#This Row],[CÓDIGO PRODUCTO]],INVENTARIOBODEGA[],3,FALSE),"-")</f>
        <v>-</v>
      </c>
      <c r="F230" s="3"/>
    </row>
    <row r="231" spans="1:6" x14ac:dyDescent="0.2">
      <c r="A231" s="4"/>
      <c r="B231" s="5"/>
      <c r="C231" s="18"/>
      <c r="D231" s="7" t="str">
        <f>IFERROR(VLOOKUP(ENTRADASBODEGA[[#This Row],[CÓDIGO PRODUCTO]],INVENTARIOBODEGA[],2,FALSE),"-")</f>
        <v>-</v>
      </c>
      <c r="E231" s="7" t="str">
        <f>IFERROR(VLOOKUP(ENTRADASBODEGA[[#This Row],[CÓDIGO PRODUCTO]],INVENTARIOBODEGA[],3,FALSE),"-")</f>
        <v>-</v>
      </c>
      <c r="F231" s="3"/>
    </row>
    <row r="232" spans="1:6" x14ac:dyDescent="0.2">
      <c r="A232" s="4"/>
      <c r="B232" s="5"/>
      <c r="C232" s="18"/>
      <c r="D232" s="7" t="str">
        <f>IFERROR(VLOOKUP(ENTRADASBODEGA[[#This Row],[CÓDIGO PRODUCTO]],INVENTARIOBODEGA[],2,FALSE),"-")</f>
        <v>-</v>
      </c>
      <c r="E232" s="7" t="str">
        <f>IFERROR(VLOOKUP(ENTRADASBODEGA[[#This Row],[CÓDIGO PRODUCTO]],INVENTARIOBODEGA[],3,FALSE),"-")</f>
        <v>-</v>
      </c>
      <c r="F232" s="3"/>
    </row>
    <row r="233" spans="1:6" x14ac:dyDescent="0.2">
      <c r="A233" s="4"/>
      <c r="B233" s="5"/>
      <c r="C233" s="18"/>
      <c r="D233" s="7" t="str">
        <f>IFERROR(VLOOKUP(ENTRADASBODEGA[[#This Row],[CÓDIGO PRODUCTO]],INVENTARIOBODEGA[],2,FALSE),"-")</f>
        <v>-</v>
      </c>
      <c r="E233" s="7" t="str">
        <f>IFERROR(VLOOKUP(ENTRADASBODEGA[[#This Row],[CÓDIGO PRODUCTO]],INVENTARIOBODEGA[],3,FALSE),"-")</f>
        <v>-</v>
      </c>
      <c r="F233" s="3"/>
    </row>
    <row r="234" spans="1:6" x14ac:dyDescent="0.2">
      <c r="A234" s="4"/>
      <c r="B234" s="5"/>
      <c r="C234" s="18"/>
      <c r="D234" s="7" t="str">
        <f>IFERROR(VLOOKUP(ENTRADASBODEGA[[#This Row],[CÓDIGO PRODUCTO]],INVENTARIOBODEGA[],2,FALSE),"-")</f>
        <v>-</v>
      </c>
      <c r="E234" s="7" t="str">
        <f>IFERROR(VLOOKUP(ENTRADASBODEGA[[#This Row],[CÓDIGO PRODUCTO]],INVENTARIOBODEGA[],3,FALSE),"-")</f>
        <v>-</v>
      </c>
      <c r="F234" s="3"/>
    </row>
    <row r="235" spans="1:6" x14ac:dyDescent="0.2">
      <c r="A235" s="4"/>
      <c r="B235" s="5"/>
      <c r="C235" s="18"/>
      <c r="D235" s="7" t="str">
        <f>IFERROR(VLOOKUP(ENTRADASBODEGA[[#This Row],[CÓDIGO PRODUCTO]],INVENTARIOBODEGA[],2,FALSE),"-")</f>
        <v>-</v>
      </c>
      <c r="E235" s="7" t="str">
        <f>IFERROR(VLOOKUP(ENTRADASBODEGA[[#This Row],[CÓDIGO PRODUCTO]],INVENTARIOBODEGA[],3,FALSE),"-")</f>
        <v>-</v>
      </c>
      <c r="F235" s="3"/>
    </row>
    <row r="236" spans="1:6" x14ac:dyDescent="0.2">
      <c r="A236" s="4"/>
      <c r="B236" s="5"/>
      <c r="C236" s="18"/>
      <c r="D236" s="7" t="str">
        <f>IFERROR(VLOOKUP(ENTRADASBODEGA[[#This Row],[CÓDIGO PRODUCTO]],INVENTARIOBODEGA[],2,FALSE),"-")</f>
        <v>-</v>
      </c>
      <c r="E236" s="7" t="str">
        <f>IFERROR(VLOOKUP(ENTRADASBODEGA[[#This Row],[CÓDIGO PRODUCTO]],INVENTARIOBODEGA[],3,FALSE),"-")</f>
        <v>-</v>
      </c>
      <c r="F236" s="3"/>
    </row>
    <row r="237" spans="1:6" x14ac:dyDescent="0.2">
      <c r="A237" s="4"/>
      <c r="B237" s="5"/>
      <c r="C237" s="18"/>
      <c r="D237" s="7" t="str">
        <f>IFERROR(VLOOKUP(ENTRADASBODEGA[[#This Row],[CÓDIGO PRODUCTO]],INVENTARIOBODEGA[],2,FALSE),"-")</f>
        <v>-</v>
      </c>
      <c r="E237" s="7" t="str">
        <f>IFERROR(VLOOKUP(ENTRADASBODEGA[[#This Row],[CÓDIGO PRODUCTO]],INVENTARIOBODEGA[],3,FALSE),"-")</f>
        <v>-</v>
      </c>
      <c r="F237" s="3"/>
    </row>
    <row r="238" spans="1:6" x14ac:dyDescent="0.2">
      <c r="A238" s="4"/>
      <c r="B238" s="5"/>
      <c r="C238" s="18"/>
      <c r="D238" s="7" t="str">
        <f>IFERROR(VLOOKUP(ENTRADASBODEGA[[#This Row],[CÓDIGO PRODUCTO]],INVENTARIOBODEGA[],2,FALSE),"-")</f>
        <v>-</v>
      </c>
      <c r="E238" s="7" t="str">
        <f>IFERROR(VLOOKUP(ENTRADASBODEGA[[#This Row],[CÓDIGO PRODUCTO]],INVENTARIOBODEGA[],3,FALSE),"-")</f>
        <v>-</v>
      </c>
      <c r="F238" s="3"/>
    </row>
    <row r="239" spans="1:6" x14ac:dyDescent="0.2">
      <c r="A239" s="4"/>
      <c r="B239" s="5"/>
      <c r="C239" s="18"/>
      <c r="D239" s="7" t="str">
        <f>IFERROR(VLOOKUP(ENTRADASBODEGA[[#This Row],[CÓDIGO PRODUCTO]],INVENTARIOBODEGA[],2,FALSE),"-")</f>
        <v>-</v>
      </c>
      <c r="E239" s="7" t="str">
        <f>IFERROR(VLOOKUP(ENTRADASBODEGA[[#This Row],[CÓDIGO PRODUCTO]],INVENTARIOBODEGA[],3,FALSE),"-")</f>
        <v>-</v>
      </c>
      <c r="F239" s="3"/>
    </row>
    <row r="240" spans="1:6" x14ac:dyDescent="0.2">
      <c r="A240" s="4"/>
      <c r="B240" s="5"/>
      <c r="C240" s="18"/>
      <c r="D240" s="7" t="str">
        <f>IFERROR(VLOOKUP(ENTRADASBODEGA[[#This Row],[CÓDIGO PRODUCTO]],INVENTARIOBODEGA[],2,FALSE),"-")</f>
        <v>-</v>
      </c>
      <c r="E240" s="7" t="str">
        <f>IFERROR(VLOOKUP(ENTRADASBODEGA[[#This Row],[CÓDIGO PRODUCTO]],INVENTARIOBODEGA[],3,FALSE),"-")</f>
        <v>-</v>
      </c>
      <c r="F240" s="3"/>
    </row>
    <row r="241" spans="1:6" x14ac:dyDescent="0.2">
      <c r="A241" s="4"/>
      <c r="B241" s="5"/>
      <c r="C241" s="18"/>
      <c r="D241" s="7" t="str">
        <f>IFERROR(VLOOKUP(ENTRADASBODEGA[[#This Row],[CÓDIGO PRODUCTO]],INVENTARIOBODEGA[],2,FALSE),"-")</f>
        <v>-</v>
      </c>
      <c r="E241" s="7" t="str">
        <f>IFERROR(VLOOKUP(ENTRADASBODEGA[[#This Row],[CÓDIGO PRODUCTO]],INVENTARIOBODEGA[],3,FALSE),"-")</f>
        <v>-</v>
      </c>
      <c r="F241" s="3"/>
    </row>
    <row r="242" spans="1:6" x14ac:dyDescent="0.2">
      <c r="A242" s="4"/>
      <c r="B242" s="5"/>
      <c r="C242" s="18"/>
      <c r="D242" s="7" t="str">
        <f>IFERROR(VLOOKUP(ENTRADASBODEGA[[#This Row],[CÓDIGO PRODUCTO]],INVENTARIOBODEGA[],2,FALSE),"-")</f>
        <v>-</v>
      </c>
      <c r="E242" s="7" t="str">
        <f>IFERROR(VLOOKUP(ENTRADASBODEGA[[#This Row],[CÓDIGO PRODUCTO]],INVENTARIOBODEGA[],3,FALSE),"-")</f>
        <v>-</v>
      </c>
      <c r="F242" s="3"/>
    </row>
    <row r="243" spans="1:6" x14ac:dyDescent="0.2">
      <c r="A243" s="4"/>
      <c r="B243" s="5"/>
      <c r="C243" s="18"/>
      <c r="D243" s="7" t="str">
        <f>IFERROR(VLOOKUP(ENTRADASBODEGA[[#This Row],[CÓDIGO PRODUCTO]],INVENTARIOBODEGA[],2,FALSE),"-")</f>
        <v>-</v>
      </c>
      <c r="E243" s="7" t="str">
        <f>IFERROR(VLOOKUP(ENTRADASBODEGA[[#This Row],[CÓDIGO PRODUCTO]],INVENTARIOBODEGA[],3,FALSE),"-")</f>
        <v>-</v>
      </c>
      <c r="F243" s="3"/>
    </row>
    <row r="244" spans="1:6" x14ac:dyDescent="0.2">
      <c r="A244" s="4"/>
      <c r="B244" s="5"/>
      <c r="C244" s="18"/>
      <c r="D244" s="7" t="str">
        <f>IFERROR(VLOOKUP(ENTRADASBODEGA[[#This Row],[CÓDIGO PRODUCTO]],INVENTARIOBODEGA[],2,FALSE),"-")</f>
        <v>-</v>
      </c>
      <c r="E244" s="7" t="str">
        <f>IFERROR(VLOOKUP(ENTRADASBODEGA[[#This Row],[CÓDIGO PRODUCTO]],INVENTARIOBODEGA[],3,FALSE),"-")</f>
        <v>-</v>
      </c>
      <c r="F244" s="3"/>
    </row>
    <row r="245" spans="1:6" x14ac:dyDescent="0.2">
      <c r="A245" s="4"/>
      <c r="B245" s="5"/>
      <c r="C245" s="18"/>
      <c r="D245" s="7" t="str">
        <f>IFERROR(VLOOKUP(ENTRADASBODEGA[[#This Row],[CÓDIGO PRODUCTO]],INVENTARIOBODEGA[],2,FALSE),"-")</f>
        <v>-</v>
      </c>
      <c r="E245" s="7" t="str">
        <f>IFERROR(VLOOKUP(ENTRADASBODEGA[[#This Row],[CÓDIGO PRODUCTO]],INVENTARIOBODEGA[],3,FALSE),"-")</f>
        <v>-</v>
      </c>
      <c r="F245" s="3"/>
    </row>
    <row r="246" spans="1:6" x14ac:dyDescent="0.2">
      <c r="A246" s="4"/>
      <c r="B246" s="5"/>
      <c r="C246" s="18"/>
      <c r="D246" s="7" t="str">
        <f>IFERROR(VLOOKUP(ENTRADASBODEGA[[#This Row],[CÓDIGO PRODUCTO]],INVENTARIOBODEGA[],2,FALSE),"-")</f>
        <v>-</v>
      </c>
      <c r="E246" s="7" t="str">
        <f>IFERROR(VLOOKUP(ENTRADASBODEGA[[#This Row],[CÓDIGO PRODUCTO]],INVENTARIOBODEGA[],3,FALSE),"-")</f>
        <v>-</v>
      </c>
      <c r="F246" s="3"/>
    </row>
    <row r="247" spans="1:6" x14ac:dyDescent="0.2">
      <c r="A247" s="4"/>
      <c r="B247" s="5"/>
      <c r="C247" s="18"/>
      <c r="D247" s="7" t="str">
        <f>IFERROR(VLOOKUP(ENTRADASBODEGA[[#This Row],[CÓDIGO PRODUCTO]],INVENTARIOBODEGA[],2,FALSE),"-")</f>
        <v>-</v>
      </c>
      <c r="E247" s="7" t="str">
        <f>IFERROR(VLOOKUP(ENTRADASBODEGA[[#This Row],[CÓDIGO PRODUCTO]],INVENTARIOBODEGA[],3,FALSE),"-")</f>
        <v>-</v>
      </c>
      <c r="F247" s="3"/>
    </row>
    <row r="248" spans="1:6" x14ac:dyDescent="0.2">
      <c r="A248" s="4"/>
      <c r="B248" s="5"/>
      <c r="C248" s="18"/>
      <c r="D248" s="7" t="str">
        <f>IFERROR(VLOOKUP(ENTRADASBODEGA[[#This Row],[CÓDIGO PRODUCTO]],INVENTARIOBODEGA[],2,FALSE),"-")</f>
        <v>-</v>
      </c>
      <c r="E248" s="7" t="str">
        <f>IFERROR(VLOOKUP(ENTRADASBODEGA[[#This Row],[CÓDIGO PRODUCTO]],INVENTARIOBODEGA[],3,FALSE),"-")</f>
        <v>-</v>
      </c>
      <c r="F248" s="3"/>
    </row>
    <row r="249" spans="1:6" x14ac:dyDescent="0.2">
      <c r="A249" s="4"/>
      <c r="B249" s="5"/>
      <c r="C249" s="18"/>
      <c r="D249" s="7" t="str">
        <f>IFERROR(VLOOKUP(ENTRADASBODEGA[[#This Row],[CÓDIGO PRODUCTO]],INVENTARIOBODEGA[],2,FALSE),"-")</f>
        <v>-</v>
      </c>
      <c r="E249" s="7" t="str">
        <f>IFERROR(VLOOKUP(ENTRADASBODEGA[[#This Row],[CÓDIGO PRODUCTO]],INVENTARIOBODEGA[],3,FALSE),"-")</f>
        <v>-</v>
      </c>
      <c r="F249" s="3"/>
    </row>
    <row r="250" spans="1:6" x14ac:dyDescent="0.2">
      <c r="A250" s="4"/>
      <c r="B250" s="5"/>
      <c r="C250" s="18"/>
      <c r="D250" s="7" t="str">
        <f>IFERROR(VLOOKUP(ENTRADASBODEGA[[#This Row],[CÓDIGO PRODUCTO]],INVENTARIOBODEGA[],2,FALSE),"-")</f>
        <v>-</v>
      </c>
      <c r="E250" s="7" t="str">
        <f>IFERROR(VLOOKUP(ENTRADASBODEGA[[#This Row],[CÓDIGO PRODUCTO]],INVENTARIOBODEGA[],3,FALSE),"-")</f>
        <v>-</v>
      </c>
      <c r="F250" s="3"/>
    </row>
    <row r="251" spans="1:6" x14ac:dyDescent="0.2">
      <c r="A251" s="4"/>
      <c r="B251" s="5"/>
      <c r="C251" s="18"/>
      <c r="D251" s="7" t="str">
        <f>IFERROR(VLOOKUP(ENTRADASBODEGA[[#This Row],[CÓDIGO PRODUCTO]],INVENTARIOBODEGA[],2,FALSE),"-")</f>
        <v>-</v>
      </c>
      <c r="E251" s="7" t="str">
        <f>IFERROR(VLOOKUP(ENTRADASBODEGA[[#This Row],[CÓDIGO PRODUCTO]],INVENTARIOBODEGA[],3,FALSE),"-")</f>
        <v>-</v>
      </c>
      <c r="F251" s="3"/>
    </row>
    <row r="252" spans="1:6" x14ac:dyDescent="0.2">
      <c r="A252" s="4"/>
      <c r="B252" s="5"/>
      <c r="C252" s="18"/>
      <c r="D252" s="7" t="str">
        <f>IFERROR(VLOOKUP(ENTRADASBODEGA[[#This Row],[CÓDIGO PRODUCTO]],INVENTARIOBODEGA[],2,FALSE),"-")</f>
        <v>-</v>
      </c>
      <c r="E252" s="7" t="str">
        <f>IFERROR(VLOOKUP(ENTRADASBODEGA[[#This Row],[CÓDIGO PRODUCTO]],INVENTARIOBODEGA[],3,FALSE),"-")</f>
        <v>-</v>
      </c>
      <c r="F252" s="3"/>
    </row>
    <row r="253" spans="1:6" x14ac:dyDescent="0.2">
      <c r="A253" s="4"/>
      <c r="B253" s="5"/>
      <c r="C253" s="18"/>
      <c r="D253" s="7" t="str">
        <f>IFERROR(VLOOKUP(ENTRADASBODEGA[[#This Row],[CÓDIGO PRODUCTO]],INVENTARIOBODEGA[],2,FALSE),"-")</f>
        <v>-</v>
      </c>
      <c r="E253" s="7" t="str">
        <f>IFERROR(VLOOKUP(ENTRADASBODEGA[[#This Row],[CÓDIGO PRODUCTO]],INVENTARIOBODEGA[],3,FALSE),"-")</f>
        <v>-</v>
      </c>
      <c r="F253" s="3"/>
    </row>
    <row r="254" spans="1:6" x14ac:dyDescent="0.2">
      <c r="A254" s="4"/>
      <c r="B254" s="5"/>
      <c r="C254" s="18"/>
      <c r="D254" s="7" t="str">
        <f>IFERROR(VLOOKUP(ENTRADASBODEGA[[#This Row],[CÓDIGO PRODUCTO]],INVENTARIOBODEGA[],2,FALSE),"-")</f>
        <v>-</v>
      </c>
      <c r="E254" s="7" t="str">
        <f>IFERROR(VLOOKUP(ENTRADASBODEGA[[#This Row],[CÓDIGO PRODUCTO]],INVENTARIOBODEGA[],3,FALSE),"-")</f>
        <v>-</v>
      </c>
      <c r="F254" s="3"/>
    </row>
    <row r="255" spans="1:6" x14ac:dyDescent="0.2">
      <c r="A255" s="4"/>
      <c r="B255" s="5"/>
      <c r="C255" s="18"/>
      <c r="D255" s="7" t="str">
        <f>IFERROR(VLOOKUP(ENTRADASBODEGA[[#This Row],[CÓDIGO PRODUCTO]],INVENTARIOBODEGA[],2,FALSE),"-")</f>
        <v>-</v>
      </c>
      <c r="E255" s="7" t="str">
        <f>IFERROR(VLOOKUP(ENTRADASBODEGA[[#This Row],[CÓDIGO PRODUCTO]],INVENTARIOBODEGA[],3,FALSE),"-")</f>
        <v>-</v>
      </c>
      <c r="F255" s="3"/>
    </row>
    <row r="256" spans="1:6" x14ac:dyDescent="0.2">
      <c r="A256" s="4"/>
      <c r="B256" s="5"/>
      <c r="C256" s="18"/>
      <c r="D256" s="7" t="str">
        <f>IFERROR(VLOOKUP(ENTRADASBODEGA[[#This Row],[CÓDIGO PRODUCTO]],INVENTARIOBODEGA[],2,FALSE),"-")</f>
        <v>-</v>
      </c>
      <c r="E256" s="7" t="str">
        <f>IFERROR(VLOOKUP(ENTRADASBODEGA[[#This Row],[CÓDIGO PRODUCTO]],INVENTARIOBODEGA[],3,FALSE),"-")</f>
        <v>-</v>
      </c>
      <c r="F256" s="3"/>
    </row>
    <row r="257" spans="1:6" x14ac:dyDescent="0.2">
      <c r="A257" s="4"/>
      <c r="B257" s="5"/>
      <c r="C257" s="18"/>
      <c r="D257" s="7" t="str">
        <f>IFERROR(VLOOKUP(ENTRADASBODEGA[[#This Row],[CÓDIGO PRODUCTO]],INVENTARIOBODEGA[],2,FALSE),"-")</f>
        <v>-</v>
      </c>
      <c r="E257" s="7" t="str">
        <f>IFERROR(VLOOKUP(ENTRADASBODEGA[[#This Row],[CÓDIGO PRODUCTO]],INVENTARIOBODEGA[],3,FALSE),"-")</f>
        <v>-</v>
      </c>
      <c r="F257" s="3"/>
    </row>
    <row r="258" spans="1:6" x14ac:dyDescent="0.2">
      <c r="A258" s="4"/>
      <c r="B258" s="5"/>
      <c r="C258" s="18"/>
      <c r="D258" s="7" t="str">
        <f>IFERROR(VLOOKUP(ENTRADASBODEGA[[#This Row],[CÓDIGO PRODUCTO]],INVENTARIOBODEGA[],2,FALSE),"-")</f>
        <v>-</v>
      </c>
      <c r="E258" s="7" t="str">
        <f>IFERROR(VLOOKUP(ENTRADASBODEGA[[#This Row],[CÓDIGO PRODUCTO]],INVENTARIOBODEGA[],3,FALSE),"-")</f>
        <v>-</v>
      </c>
      <c r="F258" s="3"/>
    </row>
    <row r="259" spans="1:6" x14ac:dyDescent="0.2">
      <c r="A259" s="4"/>
      <c r="B259" s="5"/>
      <c r="C259" s="18"/>
      <c r="D259" s="7" t="str">
        <f>IFERROR(VLOOKUP(ENTRADASBODEGA[[#This Row],[CÓDIGO PRODUCTO]],INVENTARIOBODEGA[],2,FALSE),"-")</f>
        <v>-</v>
      </c>
      <c r="E259" s="7" t="str">
        <f>IFERROR(VLOOKUP(ENTRADASBODEGA[[#This Row],[CÓDIGO PRODUCTO]],INVENTARIOBODEGA[],3,FALSE),"-")</f>
        <v>-</v>
      </c>
      <c r="F259" s="3"/>
    </row>
    <row r="260" spans="1:6" x14ac:dyDescent="0.2">
      <c r="A260" s="4"/>
      <c r="B260" s="5"/>
      <c r="C260" s="18"/>
      <c r="D260" s="7" t="str">
        <f>IFERROR(VLOOKUP(ENTRADASBODEGA[[#This Row],[CÓDIGO PRODUCTO]],INVENTARIOBODEGA[],2,FALSE),"-")</f>
        <v>-</v>
      </c>
      <c r="E260" s="7" t="str">
        <f>IFERROR(VLOOKUP(ENTRADASBODEGA[[#This Row],[CÓDIGO PRODUCTO]],INVENTARIOBODEGA[],3,FALSE),"-")</f>
        <v>-</v>
      </c>
      <c r="F260" s="3"/>
    </row>
    <row r="261" spans="1:6" x14ac:dyDescent="0.2">
      <c r="A261" s="4"/>
      <c r="B261" s="5"/>
      <c r="C261" s="18"/>
      <c r="D261" s="7" t="str">
        <f>IFERROR(VLOOKUP(ENTRADASBODEGA[[#This Row],[CÓDIGO PRODUCTO]],INVENTARIOBODEGA[],2,FALSE),"-")</f>
        <v>-</v>
      </c>
      <c r="E261" s="7" t="str">
        <f>IFERROR(VLOOKUP(ENTRADASBODEGA[[#This Row],[CÓDIGO PRODUCTO]],INVENTARIOBODEGA[],3,FALSE),"-")</f>
        <v>-</v>
      </c>
      <c r="F261" s="3"/>
    </row>
    <row r="262" spans="1:6" x14ac:dyDescent="0.2">
      <c r="A262" s="4"/>
      <c r="B262" s="5"/>
      <c r="C262" s="18"/>
      <c r="D262" s="7" t="str">
        <f>IFERROR(VLOOKUP(ENTRADASBODEGA[[#This Row],[CÓDIGO PRODUCTO]],INVENTARIOBODEGA[],2,FALSE),"-")</f>
        <v>-</v>
      </c>
      <c r="E262" s="7" t="str">
        <f>IFERROR(VLOOKUP(ENTRADASBODEGA[[#This Row],[CÓDIGO PRODUCTO]],INVENTARIOBODEGA[],3,FALSE),"-")</f>
        <v>-</v>
      </c>
      <c r="F262" s="3"/>
    </row>
    <row r="263" spans="1:6" x14ac:dyDescent="0.2">
      <c r="A263" s="4"/>
      <c r="B263" s="5"/>
      <c r="C263" s="18"/>
      <c r="D263" s="7" t="str">
        <f>IFERROR(VLOOKUP(ENTRADASBODEGA[[#This Row],[CÓDIGO PRODUCTO]],INVENTARIOBODEGA[],2,FALSE),"-")</f>
        <v>-</v>
      </c>
      <c r="E263" s="7" t="str">
        <f>IFERROR(VLOOKUP(ENTRADASBODEGA[[#This Row],[CÓDIGO PRODUCTO]],INVENTARIOBODEGA[],3,FALSE),"-")</f>
        <v>-</v>
      </c>
      <c r="F263" s="3"/>
    </row>
    <row r="264" spans="1:6" x14ac:dyDescent="0.2">
      <c r="A264" s="4"/>
      <c r="B264" s="5"/>
      <c r="C264" s="18"/>
      <c r="D264" s="7" t="str">
        <f>IFERROR(VLOOKUP(ENTRADASBODEGA[[#This Row],[CÓDIGO PRODUCTO]],INVENTARIOBODEGA[],2,FALSE),"-")</f>
        <v>-</v>
      </c>
      <c r="E264" s="7" t="str">
        <f>IFERROR(VLOOKUP(ENTRADASBODEGA[[#This Row],[CÓDIGO PRODUCTO]],INVENTARIOBODEGA[],3,FALSE),"-")</f>
        <v>-</v>
      </c>
      <c r="F264" s="3"/>
    </row>
    <row r="265" spans="1:6" x14ac:dyDescent="0.2">
      <c r="A265" s="4"/>
      <c r="B265" s="5"/>
      <c r="C265" s="18"/>
      <c r="D265" s="7" t="str">
        <f>IFERROR(VLOOKUP(ENTRADASBODEGA[[#This Row],[CÓDIGO PRODUCTO]],INVENTARIOBODEGA[],2,FALSE),"-")</f>
        <v>-</v>
      </c>
      <c r="E265" s="7" t="str">
        <f>IFERROR(VLOOKUP(ENTRADASBODEGA[[#This Row],[CÓDIGO PRODUCTO]],INVENTARIOBODEGA[],3,FALSE),"-")</f>
        <v>-</v>
      </c>
      <c r="F265" s="3"/>
    </row>
    <row r="266" spans="1:6" x14ac:dyDescent="0.2">
      <c r="A266" s="4"/>
      <c r="B266" s="5"/>
      <c r="C266" s="18"/>
      <c r="D266" s="7" t="str">
        <f>IFERROR(VLOOKUP(ENTRADASBODEGA[[#This Row],[CÓDIGO PRODUCTO]],INVENTARIOBODEGA[],2,FALSE),"-")</f>
        <v>-</v>
      </c>
      <c r="E266" s="7" t="str">
        <f>IFERROR(VLOOKUP(ENTRADASBODEGA[[#This Row],[CÓDIGO PRODUCTO]],INVENTARIOBODEGA[],3,FALSE),"-")</f>
        <v>-</v>
      </c>
      <c r="F266" s="3"/>
    </row>
    <row r="267" spans="1:6" x14ac:dyDescent="0.2">
      <c r="A267" s="4"/>
      <c r="B267" s="5"/>
      <c r="C267" s="18"/>
      <c r="D267" s="7" t="str">
        <f>IFERROR(VLOOKUP(ENTRADASBODEGA[[#This Row],[CÓDIGO PRODUCTO]],INVENTARIOBODEGA[],2,FALSE),"-")</f>
        <v>-</v>
      </c>
      <c r="E267" s="7" t="str">
        <f>IFERROR(VLOOKUP(ENTRADASBODEGA[[#This Row],[CÓDIGO PRODUCTO]],INVENTARIOBODEGA[],3,FALSE),"-")</f>
        <v>-</v>
      </c>
      <c r="F267" s="3"/>
    </row>
    <row r="268" spans="1:6" x14ac:dyDescent="0.2">
      <c r="A268" s="4"/>
      <c r="B268" s="5"/>
      <c r="C268" s="18"/>
      <c r="D268" s="7" t="str">
        <f>IFERROR(VLOOKUP(ENTRADASBODEGA[[#This Row],[CÓDIGO PRODUCTO]],INVENTARIOBODEGA[],2,FALSE),"-")</f>
        <v>-</v>
      </c>
      <c r="E268" s="7" t="str">
        <f>IFERROR(VLOOKUP(ENTRADASBODEGA[[#This Row],[CÓDIGO PRODUCTO]],INVENTARIOBODEGA[],3,FALSE),"-")</f>
        <v>-</v>
      </c>
      <c r="F268" s="3"/>
    </row>
    <row r="269" spans="1:6" x14ac:dyDescent="0.2">
      <c r="A269" s="4"/>
      <c r="B269" s="5"/>
      <c r="C269" s="18"/>
      <c r="D269" s="7" t="str">
        <f>IFERROR(VLOOKUP(ENTRADASBODEGA[[#This Row],[CÓDIGO PRODUCTO]],INVENTARIOBODEGA[],2,FALSE),"-")</f>
        <v>-</v>
      </c>
      <c r="E269" s="7" t="str">
        <f>IFERROR(VLOOKUP(ENTRADASBODEGA[[#This Row],[CÓDIGO PRODUCTO]],INVENTARIOBODEGA[],3,FALSE),"-")</f>
        <v>-</v>
      </c>
      <c r="F269" s="3"/>
    </row>
    <row r="270" spans="1:6" x14ac:dyDescent="0.2">
      <c r="A270" s="4"/>
      <c r="B270" s="5"/>
      <c r="C270" s="18"/>
      <c r="D270" s="7" t="str">
        <f>IFERROR(VLOOKUP(ENTRADASBODEGA[[#This Row],[CÓDIGO PRODUCTO]],INVENTARIOBODEGA[],2,FALSE),"-")</f>
        <v>-</v>
      </c>
      <c r="E270" s="7" t="str">
        <f>IFERROR(VLOOKUP(ENTRADASBODEGA[[#This Row],[CÓDIGO PRODUCTO]],INVENTARIOBODEGA[],3,FALSE),"-")</f>
        <v>-</v>
      </c>
      <c r="F270" s="3"/>
    </row>
    <row r="271" spans="1:6" x14ac:dyDescent="0.2">
      <c r="A271" s="4"/>
      <c r="B271" s="5"/>
      <c r="C271" s="18"/>
      <c r="D271" s="7" t="str">
        <f>IFERROR(VLOOKUP(ENTRADASBODEGA[[#This Row],[CÓDIGO PRODUCTO]],INVENTARIOBODEGA[],2,FALSE),"-")</f>
        <v>-</v>
      </c>
      <c r="E271" s="7" t="str">
        <f>IFERROR(VLOOKUP(ENTRADASBODEGA[[#This Row],[CÓDIGO PRODUCTO]],INVENTARIOBODEGA[],3,FALSE),"-")</f>
        <v>-</v>
      </c>
      <c r="F271" s="3"/>
    </row>
    <row r="272" spans="1:6" x14ac:dyDescent="0.2">
      <c r="A272" s="4"/>
      <c r="B272" s="5"/>
      <c r="C272" s="18"/>
      <c r="D272" s="7" t="str">
        <f>IFERROR(VLOOKUP(ENTRADASBODEGA[[#This Row],[CÓDIGO PRODUCTO]],INVENTARIOBODEGA[],2,FALSE),"-")</f>
        <v>-</v>
      </c>
      <c r="E272" s="7" t="str">
        <f>IFERROR(VLOOKUP(ENTRADASBODEGA[[#This Row],[CÓDIGO PRODUCTO]],INVENTARIOBODEGA[],3,FALSE),"-")</f>
        <v>-</v>
      </c>
      <c r="F272" s="3"/>
    </row>
    <row r="273" spans="1:6" x14ac:dyDescent="0.2">
      <c r="A273" s="4"/>
      <c r="B273" s="5"/>
      <c r="C273" s="18"/>
      <c r="D273" s="7" t="str">
        <f>IFERROR(VLOOKUP(ENTRADASBODEGA[[#This Row],[CÓDIGO PRODUCTO]],INVENTARIOBODEGA[],2,FALSE),"-")</f>
        <v>-</v>
      </c>
      <c r="E273" s="7" t="str">
        <f>IFERROR(VLOOKUP(ENTRADASBODEGA[[#This Row],[CÓDIGO PRODUCTO]],INVENTARIOBODEGA[],3,FALSE),"-")</f>
        <v>-</v>
      </c>
      <c r="F273" s="3"/>
    </row>
    <row r="274" spans="1:6" x14ac:dyDescent="0.2">
      <c r="A274" s="4"/>
      <c r="B274" s="5"/>
      <c r="C274" s="18"/>
      <c r="D274" s="7" t="str">
        <f>IFERROR(VLOOKUP(ENTRADASBODEGA[[#This Row],[CÓDIGO PRODUCTO]],INVENTARIOBODEGA[],2,FALSE),"-")</f>
        <v>-</v>
      </c>
      <c r="E274" s="7" t="str">
        <f>IFERROR(VLOOKUP(ENTRADASBODEGA[[#This Row],[CÓDIGO PRODUCTO]],INVENTARIOBODEGA[],3,FALSE),"-")</f>
        <v>-</v>
      </c>
      <c r="F274" s="3"/>
    </row>
    <row r="275" spans="1:6" x14ac:dyDescent="0.2">
      <c r="A275" s="4"/>
      <c r="B275" s="5"/>
      <c r="C275" s="18"/>
      <c r="D275" s="7" t="str">
        <f>IFERROR(VLOOKUP(ENTRADASBODEGA[[#This Row],[CÓDIGO PRODUCTO]],INVENTARIOBODEGA[],2,FALSE),"-")</f>
        <v>-</v>
      </c>
      <c r="E275" s="7" t="str">
        <f>IFERROR(VLOOKUP(ENTRADASBODEGA[[#This Row],[CÓDIGO PRODUCTO]],INVENTARIOBODEGA[],3,FALSE),"-")</f>
        <v>-</v>
      </c>
      <c r="F275" s="3"/>
    </row>
    <row r="276" spans="1:6" x14ac:dyDescent="0.2">
      <c r="A276" s="4"/>
      <c r="B276" s="5"/>
      <c r="C276" s="18"/>
      <c r="D276" s="7" t="str">
        <f>IFERROR(VLOOKUP(ENTRADASBODEGA[[#This Row],[CÓDIGO PRODUCTO]],INVENTARIOBODEGA[],2,FALSE),"-")</f>
        <v>-</v>
      </c>
      <c r="E276" s="7" t="str">
        <f>IFERROR(VLOOKUP(ENTRADASBODEGA[[#This Row],[CÓDIGO PRODUCTO]],INVENTARIOBODEGA[],3,FALSE),"-")</f>
        <v>-</v>
      </c>
      <c r="F276" s="3"/>
    </row>
    <row r="277" spans="1:6" x14ac:dyDescent="0.2">
      <c r="A277" s="4"/>
      <c r="B277" s="5"/>
      <c r="C277" s="18"/>
      <c r="D277" s="7" t="str">
        <f>IFERROR(VLOOKUP(ENTRADASBODEGA[[#This Row],[CÓDIGO PRODUCTO]],INVENTARIOBODEGA[],2,FALSE),"-")</f>
        <v>-</v>
      </c>
      <c r="E277" s="7" t="str">
        <f>IFERROR(VLOOKUP(ENTRADASBODEGA[[#This Row],[CÓDIGO PRODUCTO]],INVENTARIOBODEGA[],3,FALSE),"-")</f>
        <v>-</v>
      </c>
      <c r="F277" s="3"/>
    </row>
    <row r="278" spans="1:6" x14ac:dyDescent="0.2">
      <c r="A278" s="4"/>
      <c r="B278" s="5"/>
      <c r="C278" s="18"/>
      <c r="D278" s="7" t="str">
        <f>IFERROR(VLOOKUP(ENTRADASBODEGA[[#This Row],[CÓDIGO PRODUCTO]],INVENTARIOBODEGA[],2,FALSE),"-")</f>
        <v>-</v>
      </c>
      <c r="E278" s="7" t="str">
        <f>IFERROR(VLOOKUP(ENTRADASBODEGA[[#This Row],[CÓDIGO PRODUCTO]],INVENTARIOBODEGA[],3,FALSE),"-")</f>
        <v>-</v>
      </c>
      <c r="F278" s="3"/>
    </row>
    <row r="279" spans="1:6" x14ac:dyDescent="0.2">
      <c r="A279" s="4"/>
      <c r="B279" s="5"/>
      <c r="C279" s="18"/>
      <c r="D279" s="7" t="str">
        <f>IFERROR(VLOOKUP(ENTRADASBODEGA[[#This Row],[CÓDIGO PRODUCTO]],INVENTARIOBODEGA[],2,FALSE),"-")</f>
        <v>-</v>
      </c>
      <c r="E279" s="7" t="str">
        <f>IFERROR(VLOOKUP(ENTRADASBODEGA[[#This Row],[CÓDIGO PRODUCTO]],INVENTARIOBODEGA[],3,FALSE),"-")</f>
        <v>-</v>
      </c>
      <c r="F279" s="3"/>
    </row>
    <row r="280" spans="1:6" x14ac:dyDescent="0.2">
      <c r="A280" s="4"/>
      <c r="B280" s="5"/>
      <c r="C280" s="18"/>
      <c r="D280" s="7" t="str">
        <f>IFERROR(VLOOKUP(ENTRADASBODEGA[[#This Row],[CÓDIGO PRODUCTO]],INVENTARIOBODEGA[],2,FALSE),"-")</f>
        <v>-</v>
      </c>
      <c r="E280" s="7" t="str">
        <f>IFERROR(VLOOKUP(ENTRADASBODEGA[[#This Row],[CÓDIGO PRODUCTO]],INVENTARIOBODEGA[],3,FALSE),"-")</f>
        <v>-</v>
      </c>
      <c r="F280" s="3"/>
    </row>
    <row r="281" spans="1:6" x14ac:dyDescent="0.2">
      <c r="A281" s="4"/>
      <c r="B281" s="5"/>
      <c r="C281" s="18"/>
      <c r="D281" s="7" t="str">
        <f>IFERROR(VLOOKUP(ENTRADASBODEGA[[#This Row],[CÓDIGO PRODUCTO]],INVENTARIOBODEGA[],2,FALSE),"-")</f>
        <v>-</v>
      </c>
      <c r="E281" s="7" t="str">
        <f>IFERROR(VLOOKUP(ENTRADASBODEGA[[#This Row],[CÓDIGO PRODUCTO]],INVENTARIOBODEGA[],3,FALSE),"-")</f>
        <v>-</v>
      </c>
      <c r="F281" s="3"/>
    </row>
    <row r="282" spans="1:6" x14ac:dyDescent="0.2">
      <c r="A282" s="4"/>
      <c r="B282" s="5"/>
      <c r="C282" s="18"/>
      <c r="D282" s="7" t="str">
        <f>IFERROR(VLOOKUP(ENTRADASBODEGA[[#This Row],[CÓDIGO PRODUCTO]],INVENTARIOBODEGA[],2,FALSE),"-")</f>
        <v>-</v>
      </c>
      <c r="E282" s="7" t="str">
        <f>IFERROR(VLOOKUP(ENTRADASBODEGA[[#This Row],[CÓDIGO PRODUCTO]],INVENTARIOBODEGA[],3,FALSE),"-")</f>
        <v>-</v>
      </c>
      <c r="F282" s="3"/>
    </row>
    <row r="283" spans="1:6" x14ac:dyDescent="0.2">
      <c r="A283" s="4"/>
      <c r="B283" s="5"/>
      <c r="C283" s="18"/>
      <c r="D283" s="7" t="str">
        <f>IFERROR(VLOOKUP(ENTRADASBODEGA[[#This Row],[CÓDIGO PRODUCTO]],INVENTARIOBODEGA[],2,FALSE),"-")</f>
        <v>-</v>
      </c>
      <c r="E283" s="7" t="str">
        <f>IFERROR(VLOOKUP(ENTRADASBODEGA[[#This Row],[CÓDIGO PRODUCTO]],INVENTARIOBODEGA[],3,FALSE),"-")</f>
        <v>-</v>
      </c>
      <c r="F283" s="3"/>
    </row>
    <row r="284" spans="1:6" x14ac:dyDescent="0.2">
      <c r="A284" s="4"/>
      <c r="B284" s="5"/>
      <c r="C284" s="18"/>
      <c r="D284" s="7" t="str">
        <f>IFERROR(VLOOKUP(ENTRADASBODEGA[[#This Row],[CÓDIGO PRODUCTO]],INVENTARIOBODEGA[],2,FALSE),"-")</f>
        <v>-</v>
      </c>
      <c r="E284" s="7" t="str">
        <f>IFERROR(VLOOKUP(ENTRADASBODEGA[[#This Row],[CÓDIGO PRODUCTO]],INVENTARIOBODEGA[],3,FALSE),"-")</f>
        <v>-</v>
      </c>
      <c r="F284" s="3"/>
    </row>
    <row r="285" spans="1:6" x14ac:dyDescent="0.2">
      <c r="A285" s="4"/>
      <c r="B285" s="5"/>
      <c r="C285" s="18"/>
      <c r="D285" s="7" t="str">
        <f>IFERROR(VLOOKUP(ENTRADASBODEGA[[#This Row],[CÓDIGO PRODUCTO]],INVENTARIOBODEGA[],2,FALSE),"-")</f>
        <v>-</v>
      </c>
      <c r="E285" s="7" t="str">
        <f>IFERROR(VLOOKUP(ENTRADASBODEGA[[#This Row],[CÓDIGO PRODUCTO]],INVENTARIOBODEGA[],3,FALSE),"-")</f>
        <v>-</v>
      </c>
      <c r="F285" s="3"/>
    </row>
    <row r="286" spans="1:6" x14ac:dyDescent="0.2">
      <c r="A286" s="4"/>
      <c r="B286" s="5"/>
      <c r="C286" s="18"/>
      <c r="D286" s="7" t="str">
        <f>IFERROR(VLOOKUP(ENTRADASBODEGA[[#This Row],[CÓDIGO PRODUCTO]],INVENTARIOBODEGA[],2,FALSE),"-")</f>
        <v>-</v>
      </c>
      <c r="E286" s="7" t="str">
        <f>IFERROR(VLOOKUP(ENTRADASBODEGA[[#This Row],[CÓDIGO PRODUCTO]],INVENTARIOBODEGA[],3,FALSE),"-")</f>
        <v>-</v>
      </c>
      <c r="F286" s="3"/>
    </row>
    <row r="287" spans="1:6" x14ac:dyDescent="0.2">
      <c r="A287" s="4"/>
      <c r="B287" s="5"/>
      <c r="C287" s="18"/>
      <c r="D287" s="7" t="str">
        <f>IFERROR(VLOOKUP(ENTRADASBODEGA[[#This Row],[CÓDIGO PRODUCTO]],INVENTARIOBODEGA[],2,FALSE),"-")</f>
        <v>-</v>
      </c>
      <c r="E287" s="7" t="str">
        <f>IFERROR(VLOOKUP(ENTRADASBODEGA[[#This Row],[CÓDIGO PRODUCTO]],INVENTARIOBODEGA[],3,FALSE),"-")</f>
        <v>-</v>
      </c>
      <c r="F287" s="3"/>
    </row>
    <row r="288" spans="1:6" x14ac:dyDescent="0.2">
      <c r="A288" s="4"/>
      <c r="B288" s="5"/>
      <c r="C288" s="18"/>
      <c r="D288" s="7" t="str">
        <f>IFERROR(VLOOKUP(ENTRADASBODEGA[[#This Row],[CÓDIGO PRODUCTO]],INVENTARIOBODEGA[],2,FALSE),"-")</f>
        <v>-</v>
      </c>
      <c r="E288" s="7" t="str">
        <f>IFERROR(VLOOKUP(ENTRADASBODEGA[[#This Row],[CÓDIGO PRODUCTO]],INVENTARIOBODEGA[],3,FALSE),"-")</f>
        <v>-</v>
      </c>
      <c r="F288" s="3"/>
    </row>
    <row r="289" spans="1:6" x14ac:dyDescent="0.2">
      <c r="A289" s="4"/>
      <c r="B289" s="5"/>
      <c r="C289" s="18"/>
      <c r="D289" s="7" t="str">
        <f>IFERROR(VLOOKUP(ENTRADASBODEGA[[#This Row],[CÓDIGO PRODUCTO]],INVENTARIOBODEGA[],2,FALSE),"-")</f>
        <v>-</v>
      </c>
      <c r="E289" s="7" t="str">
        <f>IFERROR(VLOOKUP(ENTRADASBODEGA[[#This Row],[CÓDIGO PRODUCTO]],INVENTARIOBODEGA[],3,FALSE),"-")</f>
        <v>-</v>
      </c>
      <c r="F289" s="3"/>
    </row>
    <row r="290" spans="1:6" x14ac:dyDescent="0.2">
      <c r="A290" s="4"/>
      <c r="B290" s="5"/>
      <c r="C290" s="18"/>
      <c r="D290" s="7" t="str">
        <f>IFERROR(VLOOKUP(ENTRADASBODEGA[[#This Row],[CÓDIGO PRODUCTO]],INVENTARIOBODEGA[],2,FALSE),"-")</f>
        <v>-</v>
      </c>
      <c r="E290" s="7" t="str">
        <f>IFERROR(VLOOKUP(ENTRADASBODEGA[[#This Row],[CÓDIGO PRODUCTO]],INVENTARIOBODEGA[],3,FALSE),"-")</f>
        <v>-</v>
      </c>
      <c r="F290" s="3"/>
    </row>
    <row r="291" spans="1:6" x14ac:dyDescent="0.2">
      <c r="A291" s="4"/>
      <c r="B291" s="5"/>
      <c r="C291" s="18"/>
      <c r="D291" s="7" t="str">
        <f>IFERROR(VLOOKUP(ENTRADASBODEGA[[#This Row],[CÓDIGO PRODUCTO]],INVENTARIOBODEGA[],2,FALSE),"-")</f>
        <v>-</v>
      </c>
      <c r="E291" s="7" t="str">
        <f>IFERROR(VLOOKUP(ENTRADASBODEGA[[#This Row],[CÓDIGO PRODUCTO]],INVENTARIOBODEGA[],3,FALSE),"-")</f>
        <v>-</v>
      </c>
      <c r="F291" s="3"/>
    </row>
    <row r="292" spans="1:6" x14ac:dyDescent="0.2">
      <c r="A292" s="4"/>
      <c r="B292" s="5"/>
      <c r="C292" s="18"/>
      <c r="D292" s="7" t="str">
        <f>IFERROR(VLOOKUP(ENTRADASBODEGA[[#This Row],[CÓDIGO PRODUCTO]],INVENTARIOBODEGA[],2,FALSE),"-")</f>
        <v>-</v>
      </c>
      <c r="E292" s="7" t="str">
        <f>IFERROR(VLOOKUP(ENTRADASBODEGA[[#This Row],[CÓDIGO PRODUCTO]],INVENTARIOBODEGA[],3,FALSE),"-")</f>
        <v>-</v>
      </c>
      <c r="F292" s="3"/>
    </row>
    <row r="293" spans="1:6" x14ac:dyDescent="0.2">
      <c r="A293" s="4"/>
      <c r="B293" s="5"/>
      <c r="C293" s="18"/>
      <c r="D293" s="7" t="str">
        <f>IFERROR(VLOOKUP(ENTRADASBODEGA[[#This Row],[CÓDIGO PRODUCTO]],INVENTARIOBODEGA[],2,FALSE),"-")</f>
        <v>-</v>
      </c>
      <c r="E293" s="7" t="str">
        <f>IFERROR(VLOOKUP(ENTRADASBODEGA[[#This Row],[CÓDIGO PRODUCTO]],INVENTARIOBODEGA[],3,FALSE),"-")</f>
        <v>-</v>
      </c>
      <c r="F293" s="3"/>
    </row>
    <row r="294" spans="1:6" x14ac:dyDescent="0.2">
      <c r="A294" s="4"/>
      <c r="B294" s="5"/>
      <c r="C294" s="18"/>
      <c r="D294" s="7" t="str">
        <f>IFERROR(VLOOKUP(ENTRADASBODEGA[[#This Row],[CÓDIGO PRODUCTO]],INVENTARIOBODEGA[],2,FALSE),"-")</f>
        <v>-</v>
      </c>
      <c r="E294" s="7" t="str">
        <f>IFERROR(VLOOKUP(ENTRADASBODEGA[[#This Row],[CÓDIGO PRODUCTO]],INVENTARIOBODEGA[],3,FALSE),"-")</f>
        <v>-</v>
      </c>
      <c r="F294" s="3"/>
    </row>
    <row r="295" spans="1:6" x14ac:dyDescent="0.2">
      <c r="A295" s="4"/>
      <c r="B295" s="5"/>
      <c r="C295" s="18"/>
      <c r="D295" s="7" t="str">
        <f>IFERROR(VLOOKUP(ENTRADASBODEGA[[#This Row],[CÓDIGO PRODUCTO]],INVENTARIOBODEGA[],2,FALSE),"-")</f>
        <v>-</v>
      </c>
      <c r="E295" s="7" t="str">
        <f>IFERROR(VLOOKUP(ENTRADASBODEGA[[#This Row],[CÓDIGO PRODUCTO]],INVENTARIOBODEGA[],3,FALSE),"-")</f>
        <v>-</v>
      </c>
      <c r="F295" s="3"/>
    </row>
    <row r="296" spans="1:6" x14ac:dyDescent="0.2">
      <c r="A296" s="4"/>
      <c r="B296" s="5"/>
      <c r="C296" s="18"/>
      <c r="D296" s="7" t="str">
        <f>IFERROR(VLOOKUP(ENTRADASBODEGA[[#This Row],[CÓDIGO PRODUCTO]],INVENTARIOBODEGA[],2,FALSE),"-")</f>
        <v>-</v>
      </c>
      <c r="E296" s="7" t="str">
        <f>IFERROR(VLOOKUP(ENTRADASBODEGA[[#This Row],[CÓDIGO PRODUCTO]],INVENTARIOBODEGA[],3,FALSE),"-")</f>
        <v>-</v>
      </c>
      <c r="F296" s="3"/>
    </row>
    <row r="297" spans="1:6" x14ac:dyDescent="0.2">
      <c r="A297" s="4"/>
      <c r="B297" s="5"/>
      <c r="C297" s="18"/>
      <c r="D297" s="7" t="str">
        <f>IFERROR(VLOOKUP(ENTRADASBODEGA[[#This Row],[CÓDIGO PRODUCTO]],INVENTARIOBODEGA[],2,FALSE),"-")</f>
        <v>-</v>
      </c>
      <c r="E297" s="7" t="str">
        <f>IFERROR(VLOOKUP(ENTRADASBODEGA[[#This Row],[CÓDIGO PRODUCTO]],INVENTARIOBODEGA[],3,FALSE),"-")</f>
        <v>-</v>
      </c>
      <c r="F297" s="3"/>
    </row>
    <row r="298" spans="1:6" x14ac:dyDescent="0.2">
      <c r="A298" s="4"/>
      <c r="B298" s="5"/>
      <c r="C298" s="18"/>
      <c r="D298" s="7" t="str">
        <f>IFERROR(VLOOKUP(ENTRADASBODEGA[[#This Row],[CÓDIGO PRODUCTO]],INVENTARIOBODEGA[],2,FALSE),"-")</f>
        <v>-</v>
      </c>
      <c r="E298" s="7" t="str">
        <f>IFERROR(VLOOKUP(ENTRADASBODEGA[[#This Row],[CÓDIGO PRODUCTO]],INVENTARIOBODEGA[],3,FALSE),"-")</f>
        <v>-</v>
      </c>
      <c r="F298" s="3"/>
    </row>
    <row r="299" spans="1:6" x14ac:dyDescent="0.2">
      <c r="A299" s="4"/>
      <c r="B299" s="5"/>
      <c r="C299" s="18"/>
      <c r="D299" s="7" t="str">
        <f>IFERROR(VLOOKUP(ENTRADASBODEGA[[#This Row],[CÓDIGO PRODUCTO]],INVENTARIOBODEGA[],2,FALSE),"-")</f>
        <v>-</v>
      </c>
      <c r="E299" s="7" t="str">
        <f>IFERROR(VLOOKUP(ENTRADASBODEGA[[#This Row],[CÓDIGO PRODUCTO]],INVENTARIOBODEGA[],3,FALSE),"-")</f>
        <v>-</v>
      </c>
      <c r="F299" s="3"/>
    </row>
    <row r="300" spans="1:6" x14ac:dyDescent="0.2">
      <c r="A300" s="4"/>
      <c r="B300" s="5"/>
      <c r="C300" s="18"/>
      <c r="D300" s="7" t="str">
        <f>IFERROR(VLOOKUP(ENTRADASBODEGA[[#This Row],[CÓDIGO PRODUCTO]],INVENTARIOBODEGA[],2,FALSE),"-")</f>
        <v>-</v>
      </c>
      <c r="E300" s="7" t="str">
        <f>IFERROR(VLOOKUP(ENTRADASBODEGA[[#This Row],[CÓDIGO PRODUCTO]],INVENTARIOBODEGA[],3,FALSE),"-")</f>
        <v>-</v>
      </c>
      <c r="F300" s="3"/>
    </row>
    <row r="301" spans="1:6" x14ac:dyDescent="0.2">
      <c r="A301" s="4"/>
      <c r="B301" s="5"/>
      <c r="C301" s="18"/>
      <c r="D301" s="7" t="str">
        <f>IFERROR(VLOOKUP(ENTRADASBODEGA[[#This Row],[CÓDIGO PRODUCTO]],INVENTARIOBODEGA[],2,FALSE),"-")</f>
        <v>-</v>
      </c>
      <c r="E301" s="7" t="str">
        <f>IFERROR(VLOOKUP(ENTRADASBODEGA[[#This Row],[CÓDIGO PRODUCTO]],INVENTARIOBODEGA[],3,FALSE),"-")</f>
        <v>-</v>
      </c>
      <c r="F301" s="3"/>
    </row>
    <row r="302" spans="1:6" x14ac:dyDescent="0.2">
      <c r="A302" s="4"/>
      <c r="B302" s="5"/>
      <c r="C302" s="18"/>
      <c r="D302" s="7" t="str">
        <f>IFERROR(VLOOKUP(ENTRADASBODEGA[[#This Row],[CÓDIGO PRODUCTO]],INVENTARIOBODEGA[],2,FALSE),"-")</f>
        <v>-</v>
      </c>
      <c r="E302" s="7" t="str">
        <f>IFERROR(VLOOKUP(ENTRADASBODEGA[[#This Row],[CÓDIGO PRODUCTO]],INVENTARIOBODEGA[],3,FALSE),"-")</f>
        <v>-</v>
      </c>
      <c r="F302" s="3"/>
    </row>
  </sheetData>
  <mergeCells count="2">
    <mergeCell ref="A1:F1"/>
    <mergeCell ref="I5:J9"/>
  </mergeCells>
  <phoneticPr fontId="6" type="noConversion"/>
  <pageMargins left="0.7" right="0.7" top="0.75" bottom="0.75" header="0.3" footer="0.3"/>
  <ignoredErrors>
    <ignoredError sqref="C180:C187 C84:C132" listDataValidation="1"/>
  </ignoredErrors>
  <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A998C20F-2035-4ACD-A268-D2D650752BB2}">
          <x14:formula1>
            <xm:f>' INVENTARIOBODEGA'!$A$4:$A$118</xm:f>
          </x14:formula1>
          <xm:sqref>C4:C118</xm:sqref>
        </x14:dataValidation>
        <x14:dataValidation type="list" allowBlank="1" showInputMessage="1" showErrorMessage="1" xr:uid="{98237EA4-F7E8-42EA-BC9B-C7C5DD17A811}">
          <x14:formula1>
            <xm:f>' INVENTARIOBODEGA'!$A$4:$A$174</xm:f>
          </x14:formula1>
          <xm:sqref>C119:C123</xm:sqref>
        </x14:dataValidation>
        <x14:dataValidation type="list" allowBlank="1" showInputMessage="1" showErrorMessage="1" xr:uid="{05F207CD-BAE8-4FE9-839E-0624ADC92DE0}">
          <x14:formula1>
            <xm:f>' INVENTARIOBODEGA'!$A$4:$A$179</xm:f>
          </x14:formula1>
          <xm:sqref>C124:C154 C156:C187</xm:sqref>
        </x14:dataValidation>
        <x14:dataValidation type="list" allowBlank="1" showInputMessage="1" showErrorMessage="1" xr:uid="{00CB33E6-B4CA-4F22-A0D1-CF3B7A4CD407}">
          <x14:formula1>
            <xm:f>' INVENTARIOBODEGA'!$A$4:$A$277</xm:f>
          </x14:formula1>
          <xm:sqref>C188:C302</xm:sqref>
        </x14:dataValidation>
        <x14:dataValidation type="list" allowBlank="1" showInputMessage="1" showErrorMessage="1" xr:uid="{B2CDFDC9-31C5-40BB-B924-378042ADC3DD}">
          <x14:formula1>
            <xm:f>' INVENTARIOBODEGA'!$A$4:$A$213</xm:f>
          </x14:formula1>
          <xm:sqref>C155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9AC2-46C5-4075-AD7C-6931DA597205}">
  <sheetPr>
    <tabColor theme="9" tint="0.39997558519241921"/>
  </sheetPr>
  <dimension ref="A1:J213"/>
  <sheetViews>
    <sheetView tabSelected="1" topLeftCell="A43" workbookViewId="0">
      <selection activeCell="F68" sqref="F68"/>
    </sheetView>
  </sheetViews>
  <sheetFormatPr baseColWidth="10" defaultRowHeight="15" x14ac:dyDescent="0.2"/>
  <cols>
    <col min="1" max="1" width="20.6640625" customWidth="1"/>
    <col min="2" max="2" width="13.83203125" style="28" customWidth="1"/>
    <col min="3" max="3" width="21.6640625" customWidth="1"/>
    <col min="4" max="4" width="60.83203125" customWidth="1"/>
    <col min="5" max="5" width="14.33203125" customWidth="1"/>
    <col min="6" max="6" width="14.5" customWidth="1"/>
    <col min="7" max="7" width="19" customWidth="1"/>
    <col min="8" max="8" width="2.5" customWidth="1"/>
    <col min="9" max="9" width="8.5" customWidth="1"/>
  </cols>
  <sheetData>
    <row r="1" spans="1:10" ht="35.25" customHeight="1" x14ac:dyDescent="0.2">
      <c r="A1" s="24" t="s">
        <v>391</v>
      </c>
      <c r="B1" s="24"/>
      <c r="C1" s="24"/>
      <c r="D1" s="24"/>
      <c r="E1" s="24"/>
      <c r="F1" s="24"/>
    </row>
    <row r="3" spans="1:10" ht="47.25" customHeight="1" x14ac:dyDescent="0.2">
      <c r="A3" s="1" t="s">
        <v>7</v>
      </c>
      <c r="B3" s="27" t="s">
        <v>8</v>
      </c>
      <c r="C3" s="1" t="s">
        <v>9</v>
      </c>
      <c r="D3" s="1" t="s">
        <v>0</v>
      </c>
      <c r="E3" s="1" t="s">
        <v>1</v>
      </c>
      <c r="F3" s="1" t="s">
        <v>10</v>
      </c>
    </row>
    <row r="4" spans="1:10" x14ac:dyDescent="0.2">
      <c r="A4" s="6">
        <v>1</v>
      </c>
      <c r="B4" s="21">
        <v>45916</v>
      </c>
      <c r="C4" s="7" t="s">
        <v>106</v>
      </c>
      <c r="D4" s="7" t="str">
        <f>IFERROR(VLOOKUP(SALIDASBODEGA[[#This Row],[CÓDIGO PRODUCTO]],INVENTARIOBODEGA[],2,FALSE),"-")</f>
        <v>RESORTE DE CABEZOTE 450XL-35252A</v>
      </c>
      <c r="E4" s="7" t="str">
        <f>IFERROR(VLOOKUP(SALIDASBODEGA[[#This Row],[CÓDIGO PRODUCTO]],INVENTARIOBODEGA[],3,FALSE),"-")</f>
        <v>LT001</v>
      </c>
      <c r="F4" s="10">
        <v>3</v>
      </c>
    </row>
    <row r="5" spans="1:10" ht="15" customHeight="1" x14ac:dyDescent="0.2">
      <c r="A5" s="6">
        <v>2</v>
      </c>
      <c r="B5" s="21">
        <v>45916</v>
      </c>
      <c r="C5" s="7" t="s">
        <v>158</v>
      </c>
      <c r="D5" s="7" t="str">
        <f>IFERROR(VLOOKUP(SALIDASBODEGA[[#This Row],[CÓDIGO PRODUCTO]],INVENTARIOBODEGA[],2,FALSE),"-")</f>
        <v>SELLO MECÁNICO 440 KT508</v>
      </c>
      <c r="E5" s="7" t="str">
        <f>IFERROR(VLOOKUP(SALIDASBODEGA[[#This Row],[CÓDIGO PRODUCTO]],INVENTARIOBODEGA[],3,FALSE),"-")</f>
        <v>LT003</v>
      </c>
      <c r="F5" s="10">
        <v>1</v>
      </c>
      <c r="I5" s="26" t="s">
        <v>477</v>
      </c>
      <c r="J5" s="26"/>
    </row>
    <row r="6" spans="1:10" x14ac:dyDescent="0.2">
      <c r="A6" s="6">
        <v>3</v>
      </c>
      <c r="B6" s="21">
        <v>45916</v>
      </c>
      <c r="C6" s="7" t="s">
        <v>286</v>
      </c>
      <c r="D6" s="7" t="str">
        <f>IFERROR(VLOOKUP(SALIDASBODEGA[[#This Row],[CÓDIGO PRODUCTO]],INVENTARIOBODEGA[],2,FALSE),"-")</f>
        <v>PISTÓN BULÓN ANILLO KT213</v>
      </c>
      <c r="E6" s="7" t="str">
        <f>IFERROR(VLOOKUP(SALIDASBODEGA[[#This Row],[CÓDIGO PRODUCTO]],INVENTARIOBODEGA[],3,FALSE),"-")</f>
        <v>LT006</v>
      </c>
      <c r="F6" s="10">
        <v>1</v>
      </c>
      <c r="I6" s="26"/>
      <c r="J6" s="26"/>
    </row>
    <row r="7" spans="1:10" x14ac:dyDescent="0.2">
      <c r="A7" s="6">
        <v>4</v>
      </c>
      <c r="B7" s="21">
        <v>45916</v>
      </c>
      <c r="C7" s="7" t="s">
        <v>230</v>
      </c>
      <c r="D7" s="7" t="str">
        <f>IFERROR(VLOOKUP(SALIDASBODEGA[[#This Row],[CÓDIGO PRODUCTO]],INVENTARIOBODEGA[],2,FALSE),"-")</f>
        <v>FILTRO DE ACEITE 1448C</v>
      </c>
      <c r="E7" s="7" t="str">
        <f>IFERROR(VLOOKUP(SALIDASBODEGA[[#This Row],[CÓDIGO PRODUCTO]],INVENTARIOBODEGA[],3,FALSE),"-")</f>
        <v>LT008</v>
      </c>
      <c r="F7" s="3">
        <v>1</v>
      </c>
      <c r="I7" s="26"/>
      <c r="J7" s="26"/>
    </row>
    <row r="8" spans="1:10" x14ac:dyDescent="0.2">
      <c r="A8" s="6">
        <v>5</v>
      </c>
      <c r="B8" s="21">
        <v>45916</v>
      </c>
      <c r="C8" s="7" t="s">
        <v>222</v>
      </c>
      <c r="D8" s="7" t="str">
        <f>IFERROR(VLOOKUP(SALIDASBODEGA[[#This Row],[CÓDIGO PRODUCTO]],INVENTARIOBODEGA[],2,FALSE),"-")</f>
        <v>CILINDRO 440 - KT072</v>
      </c>
      <c r="E8" s="7" t="str">
        <f>IFERROR(VLOOKUP(SALIDASBODEGA[[#This Row],[CÓDIGO PRODUCTO]],INVENTARIOBODEGA[],3,FALSE),"-")</f>
        <v>LT016</v>
      </c>
      <c r="F8" s="3">
        <v>4</v>
      </c>
      <c r="I8" s="26"/>
      <c r="J8" s="26"/>
    </row>
    <row r="9" spans="1:10" x14ac:dyDescent="0.2">
      <c r="A9" s="6">
        <v>6</v>
      </c>
      <c r="B9" s="21">
        <v>45916</v>
      </c>
      <c r="C9" s="7" t="s">
        <v>232</v>
      </c>
      <c r="D9" s="7" t="str">
        <f>IFERROR(VLOOKUP(SALIDASBODEGA[[#This Row],[CÓDIGO PRODUCTO]],INVENTARIOBODEGA[],2,FALSE),"-")</f>
        <v>KIT DE EMPAQUE KT049</v>
      </c>
      <c r="E9" s="7" t="str">
        <f>IFERROR(VLOOKUP(SALIDASBODEGA[[#This Row],[CÓDIGO PRODUCTO]],INVENTARIOBODEGA[],3,FALSE),"-")</f>
        <v>LT009</v>
      </c>
      <c r="F9" s="3">
        <v>1</v>
      </c>
      <c r="I9" s="26"/>
      <c r="J9" s="26"/>
    </row>
    <row r="10" spans="1:10" x14ac:dyDescent="0.2">
      <c r="A10" s="6">
        <v>7</v>
      </c>
      <c r="B10" s="21">
        <v>45916</v>
      </c>
      <c r="C10" s="7" t="s">
        <v>235</v>
      </c>
      <c r="D10" s="7" t="str">
        <f>IFERROR(VLOOKUP(SALIDASBODEGA[[#This Row],[CÓDIGO PRODUCTO]],INVENTARIOBODEGA[],2,FALSE),"-")</f>
        <v>RODAMIENTO 440</v>
      </c>
      <c r="E10" s="7" t="str">
        <f>IFERROR(VLOOKUP(SALIDASBODEGA[[#This Row],[CÓDIGO PRODUCTO]],INVENTARIOBODEGA[],3,FALSE),"-")</f>
        <v>LT023</v>
      </c>
      <c r="F10" s="3">
        <v>1</v>
      </c>
      <c r="I10" s="26"/>
      <c r="J10" s="26"/>
    </row>
    <row r="11" spans="1:10" x14ac:dyDescent="0.2">
      <c r="A11" s="6">
        <v>8</v>
      </c>
      <c r="B11" s="21">
        <v>45916</v>
      </c>
      <c r="C11" s="7" t="s">
        <v>269</v>
      </c>
      <c r="D11" s="7" t="str">
        <f>IFERROR(VLOOKUP(SALIDASBODEGA[[#This Row],[CÓDIGO PRODUCTO]],INVENTARIOBODEGA[],2,FALSE),"-")</f>
        <v xml:space="preserve">CIGÜEÑAL 440 </v>
      </c>
      <c r="E11" s="7" t="str">
        <f>IFERROR(VLOOKUP(SALIDASBODEGA[[#This Row],[CÓDIGO PRODUCTO]],INVENTARIOBODEGA[],3,FALSE),"-")</f>
        <v>LT030</v>
      </c>
      <c r="F11" s="3">
        <v>1</v>
      </c>
      <c r="I11" s="26"/>
      <c r="J11" s="26"/>
    </row>
    <row r="12" spans="1:10" x14ac:dyDescent="0.2">
      <c r="A12" s="6">
        <v>9</v>
      </c>
      <c r="B12" s="21">
        <v>45916</v>
      </c>
      <c r="C12" s="7" t="s">
        <v>228</v>
      </c>
      <c r="D12" s="7" t="str">
        <f>IFERROR(VLOOKUP(SALIDASBODEGA[[#This Row],[CÓDIGO PRODUCTO]],INVENTARIOBODEGA[],2,FALSE),"-")</f>
        <v>BRAZO DE BIELA 440 SIN CHAPA</v>
      </c>
      <c r="E12" s="7" t="str">
        <f>IFERROR(VLOOKUP(SALIDASBODEGA[[#This Row],[CÓDIGO PRODUCTO]],INVENTARIOBODEGA[],3,FALSE),"-")</f>
        <v>LT017</v>
      </c>
      <c r="F12" s="3">
        <v>4</v>
      </c>
      <c r="I12" s="26"/>
      <c r="J12" s="26"/>
    </row>
    <row r="13" spans="1:10" x14ac:dyDescent="0.2">
      <c r="A13" s="6">
        <v>10</v>
      </c>
      <c r="B13" s="21">
        <v>45916</v>
      </c>
      <c r="C13" s="7" t="s">
        <v>240</v>
      </c>
      <c r="D13" s="7" t="str">
        <f>IFERROR(VLOOKUP(SALIDASBODEGA[[#This Row],[CÓDIGO PRODUCTO]],INVENTARIOBODEGA[],2,FALSE),"-")</f>
        <v>CHAPAS 440 STD</v>
      </c>
      <c r="E13" s="7" t="str">
        <f>IFERROR(VLOOKUP(SALIDASBODEGA[[#This Row],[CÓDIGO PRODUCTO]],INVENTARIOBODEGA[],3,FALSE),"-")</f>
        <v>LT019</v>
      </c>
      <c r="F13" s="3">
        <v>4</v>
      </c>
      <c r="I13" s="26"/>
      <c r="J13" s="26"/>
    </row>
    <row r="14" spans="1:10" x14ac:dyDescent="0.2">
      <c r="A14" s="6">
        <v>11</v>
      </c>
      <c r="B14" s="21">
        <v>45916</v>
      </c>
      <c r="C14" s="7" t="s">
        <v>233</v>
      </c>
      <c r="D14" s="7" t="str">
        <f>IFERROR(VLOOKUP(SALIDASBODEGA[[#This Row],[CÓDIGO PRODUCTO]],INVENTARIOBODEGA[],2,FALSE),"-")</f>
        <v>YOKE NEW STYLE A33575A</v>
      </c>
      <c r="E14" s="7" t="str">
        <f>IFERROR(VLOOKUP(SALIDASBODEGA[[#This Row],[CÓDIGO PRODUCTO]],INVENTARIOBODEGA[],3,FALSE),"-")</f>
        <v>LT022</v>
      </c>
      <c r="F14" s="3">
        <v>2</v>
      </c>
      <c r="I14" s="26"/>
      <c r="J14" s="26"/>
    </row>
    <row r="15" spans="1:10" x14ac:dyDescent="0.2">
      <c r="A15" s="6">
        <v>12</v>
      </c>
      <c r="B15" s="21">
        <v>45916</v>
      </c>
      <c r="C15" s="7" t="s">
        <v>232</v>
      </c>
      <c r="D15" s="7" t="str">
        <f>IFERROR(VLOOKUP(SALIDASBODEGA[[#This Row],[CÓDIGO PRODUCTO]],INVENTARIOBODEGA[],2,FALSE),"-")</f>
        <v>KIT DE EMPAQUE KT049</v>
      </c>
      <c r="E15" s="7" t="str">
        <f>IFERROR(VLOOKUP(SALIDASBODEGA[[#This Row],[CÓDIGO PRODUCTO]],INVENTARIOBODEGA[],3,FALSE),"-")</f>
        <v>LT009</v>
      </c>
      <c r="F15" s="3">
        <v>1</v>
      </c>
      <c r="I15" s="26"/>
      <c r="J15" s="26"/>
    </row>
    <row r="16" spans="1:10" x14ac:dyDescent="0.2">
      <c r="A16" s="6">
        <v>13</v>
      </c>
      <c r="B16" s="21">
        <v>45916</v>
      </c>
      <c r="C16" s="7" t="s">
        <v>167</v>
      </c>
      <c r="D16" s="7" t="str">
        <f>IFERROR(VLOOKUP(SALIDASBODEGA[[#This Row],[CÓDIGO PRODUCTO]],INVENTARIOBODEGA[],2,FALSE),"-")</f>
        <v>PISTÓN DE CAPACIDAD OLD STYLE</v>
      </c>
      <c r="E16" s="7" t="str">
        <f>IFERROR(VLOOKUP(SALIDASBODEGA[[#This Row],[CÓDIGO PRODUCTO]],INVENTARIOBODEGA[],3,FALSE),"-")</f>
        <v>LT006</v>
      </c>
      <c r="F16" s="3">
        <v>1</v>
      </c>
    </row>
    <row r="17" spans="1:6" x14ac:dyDescent="0.2">
      <c r="A17" s="6">
        <v>14</v>
      </c>
      <c r="B17" s="21">
        <v>45916</v>
      </c>
      <c r="C17" s="7" t="s">
        <v>246</v>
      </c>
      <c r="D17" s="7" t="str">
        <f>IFERROR(VLOOKUP(SALIDASBODEGA[[#This Row],[CÓDIGO PRODUCTO]],INVENTARIOBODEGA[],2,FALSE),"-")</f>
        <v xml:space="preserve">ORING DE CILINDRO </v>
      </c>
      <c r="E17" s="7" t="str">
        <f>IFERROR(VLOOKUP(SALIDASBODEGA[[#This Row],[CÓDIGO PRODUCTO]],INVENTARIOBODEGA[],3,FALSE),"-")</f>
        <v>LT016</v>
      </c>
      <c r="F17" s="3">
        <v>4</v>
      </c>
    </row>
    <row r="18" spans="1:6" x14ac:dyDescent="0.2">
      <c r="A18" s="6">
        <v>15</v>
      </c>
      <c r="B18" s="21">
        <v>45916</v>
      </c>
      <c r="C18" s="7" t="s">
        <v>235</v>
      </c>
      <c r="D18" s="7" t="str">
        <f>IFERROR(VLOOKUP(SALIDASBODEGA[[#This Row],[CÓDIGO PRODUCTO]],INVENTARIOBODEGA[],2,FALSE),"-")</f>
        <v>RODAMIENTO 440</v>
      </c>
      <c r="E18" s="7" t="str">
        <f>IFERROR(VLOOKUP(SALIDASBODEGA[[#This Row],[CÓDIGO PRODUCTO]],INVENTARIOBODEGA[],3,FALSE),"-")</f>
        <v>LT023</v>
      </c>
      <c r="F18" s="3">
        <v>1</v>
      </c>
    </row>
    <row r="19" spans="1:6" x14ac:dyDescent="0.2">
      <c r="A19" s="6">
        <v>16</v>
      </c>
      <c r="B19" s="21">
        <v>45916</v>
      </c>
      <c r="C19" s="7" t="s">
        <v>241</v>
      </c>
      <c r="D19" s="7" t="str">
        <f>IFERROR(VLOOKUP(SALIDASBODEGA[[#This Row],[CÓDIGO PRODUCTO]],INVENTARIOBODEGA[],2,FALSE),"-")</f>
        <v>CHAPAS 450 STD</v>
      </c>
      <c r="E19" s="7" t="str">
        <f>IFERROR(VLOOKUP(SALIDASBODEGA[[#This Row],[CÓDIGO PRODUCTO]],INVENTARIOBODEGA[],3,FALSE),"-")</f>
        <v>LT019</v>
      </c>
      <c r="F19" s="3">
        <v>6</v>
      </c>
    </row>
    <row r="20" spans="1:6" x14ac:dyDescent="0.2">
      <c r="A20" s="6">
        <v>17</v>
      </c>
      <c r="B20" s="21">
        <v>45916</v>
      </c>
      <c r="C20" s="7" t="s">
        <v>264</v>
      </c>
      <c r="D20" s="7" t="str">
        <f>IFERROR(VLOOKUP(SALIDASBODEGA[[#This Row],[CÓDIGO PRODUCTO]],INVENTARIOBODEGA[],2,FALSE),"-")</f>
        <v>PRESOSTATO DIFERENCIAL</v>
      </c>
      <c r="E20" s="7" t="str">
        <f>IFERROR(VLOOKUP(SALIDASBODEGA[[#This Row],[CÓDIGO PRODUCTO]],INVENTARIOBODEGA[],3,FALSE),"-")</f>
        <v>LT028</v>
      </c>
      <c r="F20" s="3">
        <v>1</v>
      </c>
    </row>
    <row r="21" spans="1:6" x14ac:dyDescent="0.2">
      <c r="A21" s="6">
        <v>18</v>
      </c>
      <c r="B21" s="21">
        <v>45916</v>
      </c>
      <c r="C21" s="7" t="s">
        <v>224</v>
      </c>
      <c r="D21" s="7" t="str">
        <f>IFERROR(VLOOKUP(SALIDASBODEGA[[#This Row],[CÓDIGO PRODUCTO]],INVENTARIOBODEGA[],2,FALSE),"-")</f>
        <v>MANÓMETRO 4" 0-300PSI</v>
      </c>
      <c r="E21" s="7" t="str">
        <f>IFERROR(VLOOKUP(SALIDASBODEGA[[#This Row],[CÓDIGO PRODUCTO]],INVENTARIOBODEGA[],3,FALSE),"-")</f>
        <v>LT020</v>
      </c>
      <c r="F21" s="3">
        <v>1</v>
      </c>
    </row>
    <row r="22" spans="1:6" x14ac:dyDescent="0.2">
      <c r="A22" s="6">
        <v>19</v>
      </c>
      <c r="B22" s="21">
        <v>45916</v>
      </c>
      <c r="C22" s="7" t="s">
        <v>223</v>
      </c>
      <c r="D22" s="7" t="str">
        <f>IFERROR(VLOOKUP(SALIDASBODEGA[[#This Row],[CÓDIGO PRODUCTO]],INVENTARIOBODEGA[],2,FALSE),"-")</f>
        <v>MANÓMETRO 4" 0-150PSI</v>
      </c>
      <c r="E22" s="7" t="str">
        <f>IFERROR(VLOOKUP(SALIDASBODEGA[[#This Row],[CÓDIGO PRODUCTO]],INVENTARIOBODEGA[],3,FALSE),"-")</f>
        <v>LT020</v>
      </c>
      <c r="F22" s="3">
        <v>1</v>
      </c>
    </row>
    <row r="23" spans="1:6" x14ac:dyDescent="0.2">
      <c r="A23" s="6">
        <v>20</v>
      </c>
      <c r="B23" s="21">
        <v>45916</v>
      </c>
      <c r="C23" s="7" t="s">
        <v>195</v>
      </c>
      <c r="D23" s="7" t="str">
        <f>IFERROR(VLOOKUP(SALIDASBODEGA[[#This Row],[CÓDIGO PRODUCTO]],INVENTARIOBODEGA[],2,FALSE),"-")</f>
        <v>FILTRO DE PIEDRA D48</v>
      </c>
      <c r="E23" s="7" t="str">
        <f>IFERROR(VLOOKUP(SALIDASBODEGA[[#This Row],[CÓDIGO PRODUCTO]],INVENTARIOBODEGA[],3,FALSE),"-")</f>
        <v>LT008</v>
      </c>
      <c r="F23" s="3">
        <v>4</v>
      </c>
    </row>
    <row r="24" spans="1:6" x14ac:dyDescent="0.2">
      <c r="A24" s="6">
        <v>21</v>
      </c>
      <c r="B24" s="21">
        <v>45916</v>
      </c>
      <c r="C24" s="7" t="s">
        <v>231</v>
      </c>
      <c r="D24" s="7" t="str">
        <f>IFERROR(VLOOKUP(SALIDASBODEGA[[#This Row],[CÓDIGO PRODUCTO]],INVENTARIOBODEGA[],2,FALSE),"-")</f>
        <v>JUEGO DE ANILLOS 31989M/31989N</v>
      </c>
      <c r="E24" s="7" t="str">
        <f>IFERROR(VLOOKUP(SALIDASBODEGA[[#This Row],[CÓDIGO PRODUCTO]],INVENTARIOBODEGA[],3,FALSE),"-")</f>
        <v>LT021</v>
      </c>
      <c r="F24" s="3">
        <v>4</v>
      </c>
    </row>
    <row r="25" spans="1:6" x14ac:dyDescent="0.2">
      <c r="A25" s="6">
        <v>22</v>
      </c>
      <c r="B25" s="21">
        <v>45916</v>
      </c>
      <c r="C25" s="7" t="s">
        <v>243</v>
      </c>
      <c r="D25" s="7" t="str">
        <f>IFERROR(VLOOKUP(SALIDASBODEGA[[#This Row],[CÓDIGO PRODUCTO]],INVENTARIOBODEGA[],2,FALSE),"-")</f>
        <v>CHAPAS 440 0.15"</v>
      </c>
      <c r="E25" s="7" t="str">
        <f>IFERROR(VLOOKUP(SALIDASBODEGA[[#This Row],[CÓDIGO PRODUCTO]],INVENTARIOBODEGA[],3,FALSE),"-")</f>
        <v>LT019</v>
      </c>
      <c r="F25" s="3">
        <v>4</v>
      </c>
    </row>
    <row r="26" spans="1:6" x14ac:dyDescent="0.2">
      <c r="A26" s="6">
        <v>23</v>
      </c>
      <c r="B26" s="21">
        <v>45916</v>
      </c>
      <c r="C26" s="7" t="s">
        <v>163</v>
      </c>
      <c r="D26" s="7" t="str">
        <f>IFERROR(VLOOKUP(SALIDASBODEGA[[#This Row],[CÓDIGO PRODUCTO]],INVENTARIOBODEGA[],2,FALSE),"-")</f>
        <v>VÁLVULA DE DESCARGA 450</v>
      </c>
      <c r="E26" s="7" t="str">
        <f>IFERROR(VLOOKUP(SALIDASBODEGA[[#This Row],[CÓDIGO PRODUCTO]],INVENTARIOBODEGA[],3,FALSE),"-")</f>
        <v>LT005</v>
      </c>
      <c r="F26" s="3">
        <v>4</v>
      </c>
    </row>
    <row r="27" spans="1:6" x14ac:dyDescent="0.2">
      <c r="A27" s="6">
        <v>24</v>
      </c>
      <c r="B27" s="21">
        <v>45916</v>
      </c>
      <c r="C27" s="7" t="s">
        <v>195</v>
      </c>
      <c r="D27" s="7" t="str">
        <f>IFERROR(VLOOKUP(SALIDASBODEGA[[#This Row],[CÓDIGO PRODUCTO]],INVENTARIOBODEGA[],2,FALSE),"-")</f>
        <v>FILTRO DE PIEDRA D48</v>
      </c>
      <c r="E27" s="7" t="str">
        <f>IFERROR(VLOOKUP(SALIDASBODEGA[[#This Row],[CÓDIGO PRODUCTO]],INVENTARIOBODEGA[],3,FALSE),"-")</f>
        <v>LT008</v>
      </c>
      <c r="F27" s="3">
        <v>1</v>
      </c>
    </row>
    <row r="28" spans="1:6" x14ac:dyDescent="0.2">
      <c r="A28" s="6">
        <v>25</v>
      </c>
      <c r="B28" s="21">
        <v>45667</v>
      </c>
      <c r="C28" s="7" t="s">
        <v>234</v>
      </c>
      <c r="D28" s="7" t="str">
        <f>IFERROR(VLOOKUP(SALIDASBODEGA[[#This Row],[CÓDIGO PRODUCTO]],INVENTARIOBODEGA[],2,FALSE),"-")</f>
        <v>YOKE OLD STYLE A33577A</v>
      </c>
      <c r="E28" s="7" t="str">
        <f>IFERROR(VLOOKUP(SALIDASBODEGA[[#This Row],[CÓDIGO PRODUCTO]],INVENTARIOBODEGA[],3,FALSE),"-")</f>
        <v>LT022</v>
      </c>
      <c r="F28" s="3">
        <v>2</v>
      </c>
    </row>
    <row r="29" spans="1:6" x14ac:dyDescent="0.2">
      <c r="A29" s="6">
        <v>26</v>
      </c>
      <c r="B29" s="21">
        <v>45667</v>
      </c>
      <c r="C29" s="7" t="s">
        <v>170</v>
      </c>
      <c r="D29" s="7" t="str">
        <f>IFERROR(VLOOKUP(SALIDASBODEGA[[#This Row],[CÓDIGO PRODUCTO]],INVENTARIOBODEGA[],2,FALSE),"-")</f>
        <v>VÁLVULA DE EXPANSIÓN MANUAL PARKER ½</v>
      </c>
      <c r="E29" s="7" t="str">
        <f>IFERROR(VLOOKUP(SALIDASBODEGA[[#This Row],[CÓDIGO PRODUCTO]],INVENTARIOBODEGA[],3,FALSE),"-")</f>
        <v>LT005</v>
      </c>
      <c r="F29" s="3">
        <v>4</v>
      </c>
    </row>
    <row r="30" spans="1:6" x14ac:dyDescent="0.2">
      <c r="A30" s="6">
        <v>27</v>
      </c>
      <c r="B30" s="21" t="s">
        <v>479</v>
      </c>
      <c r="C30" s="7" t="s">
        <v>170</v>
      </c>
      <c r="D30" s="7" t="str">
        <f>IFERROR(VLOOKUP(SALIDASBODEGA[[#This Row],[CÓDIGO PRODUCTO]],INVENTARIOBODEGA[],2,FALSE),"-")</f>
        <v>VÁLVULA DE EXPANSIÓN MANUAL PARKER ½</v>
      </c>
      <c r="E30" s="7" t="str">
        <f>IFERROR(VLOOKUP(SALIDASBODEGA[[#This Row],[CÓDIGO PRODUCTO]],INVENTARIOBODEGA[],3,FALSE),"-")</f>
        <v>LT005</v>
      </c>
      <c r="F30" s="3">
        <v>2</v>
      </c>
    </row>
    <row r="31" spans="1:6" x14ac:dyDescent="0.2">
      <c r="A31" s="6">
        <v>28</v>
      </c>
      <c r="B31" s="21" t="s">
        <v>786</v>
      </c>
      <c r="C31" s="7" t="s">
        <v>515</v>
      </c>
      <c r="D31" s="7" t="str">
        <f>IFERROR(VLOOKUP(SALIDASBODEGA[[#This Row],[CÓDIGO PRODUCTO]],INVENTARIOBODEGA[],2,FALSE),"-")</f>
        <v>JAULA POLIAMIDA UN 2207</v>
      </c>
      <c r="E31" s="7" t="str">
        <f>IFERROR(VLOOKUP(SALIDASBODEGA[[#This Row],[CÓDIGO PRODUCTO]],INVENTARIOBODEGA[],3,FALSE),"-")</f>
        <v>LT035</v>
      </c>
      <c r="F31" s="3">
        <v>1</v>
      </c>
    </row>
    <row r="32" spans="1:6" x14ac:dyDescent="0.2">
      <c r="A32" s="6">
        <v>29</v>
      </c>
      <c r="B32" s="21" t="s">
        <v>786</v>
      </c>
      <c r="C32" s="7" t="s">
        <v>524</v>
      </c>
      <c r="D32" s="7" t="str">
        <f>IFERROR(VLOOKUP(SALIDASBODEGA[[#This Row],[CÓDIGO PRODUCTO]],INVENTARIOBODEGA[],2,FALSE),"-")</f>
        <v>JAULA POLIAMIDA 7309</v>
      </c>
      <c r="E32" s="7" t="str">
        <f>IFERROR(VLOOKUP(SALIDASBODEGA[[#This Row],[CÓDIGO PRODUCTO]],INVENTARIOBODEGA[],3,FALSE),"-")</f>
        <v>LT035</v>
      </c>
      <c r="F32" s="3">
        <v>1</v>
      </c>
    </row>
    <row r="33" spans="1:6" x14ac:dyDescent="0.2">
      <c r="A33" s="6">
        <v>30</v>
      </c>
      <c r="B33" s="21" t="s">
        <v>786</v>
      </c>
      <c r="C33" s="7" t="s">
        <v>512</v>
      </c>
      <c r="D33" s="7" t="str">
        <f>IFERROR(VLOOKUP(SALIDASBODEGA[[#This Row],[CÓDIGO PRODUCTO]],INVENTARIOBODEGA[],2,FALSE),"-")</f>
        <v>JAULA POLIAMIDA NU 2209</v>
      </c>
      <c r="E33" s="7" t="str">
        <f>IFERROR(VLOOKUP(SALIDASBODEGA[[#This Row],[CÓDIGO PRODUCTO]],INVENTARIOBODEGA[],3,FALSE),"-")</f>
        <v>LT035</v>
      </c>
      <c r="F33" s="3">
        <v>1</v>
      </c>
    </row>
    <row r="34" spans="1:6" x14ac:dyDescent="0.2">
      <c r="A34" s="6">
        <v>31</v>
      </c>
      <c r="B34" s="21" t="s">
        <v>786</v>
      </c>
      <c r="C34" s="7" t="s">
        <v>517</v>
      </c>
      <c r="D34" s="7" t="str">
        <f>IFERROR(VLOOKUP(SALIDASBODEGA[[#This Row],[CÓDIGO PRODUCTO]],INVENTARIOBODEGA[],2,FALSE),"-")</f>
        <v>JAULA POLIAMIDA NU 1012 BRONCE</v>
      </c>
      <c r="E34" s="7" t="str">
        <f>IFERROR(VLOOKUP(SALIDASBODEGA[[#This Row],[CÓDIGO PRODUCTO]],INVENTARIOBODEGA[],3,FALSE),"-")</f>
        <v>LT035</v>
      </c>
      <c r="F34" s="3">
        <v>1</v>
      </c>
    </row>
    <row r="35" spans="1:6" x14ac:dyDescent="0.2">
      <c r="A35" s="6">
        <v>32</v>
      </c>
      <c r="B35" s="21" t="s">
        <v>786</v>
      </c>
      <c r="C35" s="7" t="s">
        <v>521</v>
      </c>
      <c r="D35" s="7" t="str">
        <f>IFERROR(VLOOKUP(SALIDASBODEGA[[#This Row],[CÓDIGO PRODUCTO]],INVENTARIOBODEGA[],2,FALSE),"-")</f>
        <v>JAULA POLIAMIDA NU 206</v>
      </c>
      <c r="E35" s="7" t="str">
        <f>IFERROR(VLOOKUP(SALIDASBODEGA[[#This Row],[CÓDIGO PRODUCTO]],INVENTARIOBODEGA[],3,FALSE),"-")</f>
        <v>LT035</v>
      </c>
      <c r="F35" s="3">
        <v>1</v>
      </c>
    </row>
    <row r="36" spans="1:6" x14ac:dyDescent="0.2">
      <c r="A36" s="6">
        <v>33</v>
      </c>
      <c r="B36" s="21" t="s">
        <v>790</v>
      </c>
      <c r="C36" s="7" t="s">
        <v>522</v>
      </c>
      <c r="D36" s="7" t="str">
        <f>IFERROR(VLOOKUP(SALIDASBODEGA[[#This Row],[CÓDIGO PRODUCTO]],INVENTARIOBODEGA[],2,FALSE),"-")</f>
        <v>JAULA POLIAMIDA 7306</v>
      </c>
      <c r="E36" s="7" t="str">
        <f>IFERROR(VLOOKUP(SALIDASBODEGA[[#This Row],[CÓDIGO PRODUCTO]],INVENTARIOBODEGA[],3,FALSE),"-")</f>
        <v>LT035</v>
      </c>
      <c r="F36" s="3">
        <v>1</v>
      </c>
    </row>
    <row r="37" spans="1:6" x14ac:dyDescent="0.2">
      <c r="A37" s="6">
        <v>34</v>
      </c>
      <c r="B37" s="21" t="s">
        <v>787</v>
      </c>
      <c r="C37" s="7" t="s">
        <v>495</v>
      </c>
      <c r="D37" s="7" t="str">
        <f>IFERROR(VLOOKUP(SALIDASBODEGA[[#This Row],[CÓDIGO PRODUCTO]],INVENTARIOBODEGA[],2,FALSE),"-")</f>
        <v>STOP VALVE STAIGHT DN 32</v>
      </c>
      <c r="E37" s="7" t="str">
        <f>IFERROR(VLOOKUP(SALIDASBODEGA[[#This Row],[CÓDIGO PRODUCTO]],INVENTARIOBODEGA[],3,FALSE),"-")</f>
        <v>LT034</v>
      </c>
      <c r="F37" s="3">
        <v>9</v>
      </c>
    </row>
    <row r="38" spans="1:6" x14ac:dyDescent="0.2">
      <c r="A38" s="6">
        <v>35</v>
      </c>
      <c r="B38" s="21" t="s">
        <v>788</v>
      </c>
      <c r="C38" s="7" t="s">
        <v>495</v>
      </c>
      <c r="D38" s="7" t="str">
        <f>IFERROR(VLOOKUP(SALIDASBODEGA[[#This Row],[CÓDIGO PRODUCTO]],INVENTARIOBODEGA[],2,FALSE),"-")</f>
        <v>STOP VALVE STAIGHT DN 32</v>
      </c>
      <c r="E38" s="7" t="str">
        <f>IFERROR(VLOOKUP(SALIDASBODEGA[[#This Row],[CÓDIGO PRODUCTO]],INVENTARIOBODEGA[],3,FALSE),"-")</f>
        <v>LT034</v>
      </c>
      <c r="F38" s="3">
        <v>1</v>
      </c>
    </row>
    <row r="39" spans="1:6" x14ac:dyDescent="0.2">
      <c r="A39" s="6">
        <v>36</v>
      </c>
      <c r="B39" s="21" t="s">
        <v>789</v>
      </c>
      <c r="C39" s="7" t="s">
        <v>246</v>
      </c>
      <c r="D39" s="7" t="str">
        <f>IFERROR(VLOOKUP(SALIDASBODEGA[[#This Row],[CÓDIGO PRODUCTO]],INVENTARIOBODEGA[],2,FALSE),"-")</f>
        <v xml:space="preserve">ORING DE CILINDRO </v>
      </c>
      <c r="E39" s="7" t="str">
        <f>IFERROR(VLOOKUP(SALIDASBODEGA[[#This Row],[CÓDIGO PRODUCTO]],INVENTARIOBODEGA[],3,FALSE),"-")</f>
        <v>LT016</v>
      </c>
      <c r="F39" s="3">
        <v>6</v>
      </c>
    </row>
    <row r="40" spans="1:6" x14ac:dyDescent="0.2">
      <c r="A40" s="6">
        <v>37</v>
      </c>
      <c r="B40" s="21" t="s">
        <v>789</v>
      </c>
      <c r="C40" s="7" t="s">
        <v>241</v>
      </c>
      <c r="D40" s="7" t="str">
        <f>IFERROR(VLOOKUP(SALIDASBODEGA[[#This Row],[CÓDIGO PRODUCTO]],INVENTARIOBODEGA[],2,FALSE),"-")</f>
        <v>CHAPAS 450 STD</v>
      </c>
      <c r="E40" s="7" t="str">
        <f>IFERROR(VLOOKUP(SALIDASBODEGA[[#This Row],[CÓDIGO PRODUCTO]],INVENTARIOBODEGA[],3,FALSE),"-")</f>
        <v>LT019</v>
      </c>
      <c r="F40" s="3">
        <v>6</v>
      </c>
    </row>
    <row r="41" spans="1:6" x14ac:dyDescent="0.2">
      <c r="A41" s="6">
        <v>38</v>
      </c>
      <c r="B41" s="21" t="s">
        <v>789</v>
      </c>
      <c r="C41" s="7" t="s">
        <v>232</v>
      </c>
      <c r="D41" s="7" t="str">
        <f>IFERROR(VLOOKUP(SALIDASBODEGA[[#This Row],[CÓDIGO PRODUCTO]],INVENTARIOBODEGA[],2,FALSE),"-")</f>
        <v>KIT DE EMPAQUE KT049</v>
      </c>
      <c r="E41" s="7" t="str">
        <f>IFERROR(VLOOKUP(SALIDASBODEGA[[#This Row],[CÓDIGO PRODUCTO]],INVENTARIOBODEGA[],3,FALSE),"-")</f>
        <v>LT009</v>
      </c>
      <c r="F41" s="3">
        <v>1</v>
      </c>
    </row>
    <row r="42" spans="1:6" x14ac:dyDescent="0.2">
      <c r="A42" s="6">
        <v>39</v>
      </c>
      <c r="B42" s="21" t="s">
        <v>789</v>
      </c>
      <c r="C42" s="7" t="s">
        <v>157</v>
      </c>
      <c r="D42" s="7" t="str">
        <f>IFERROR(VLOOKUP(SALIDASBODEGA[[#This Row],[CÓDIGO PRODUCTO]],INVENTARIOBODEGA[],2,FALSE),"-")</f>
        <v>SELLO MECÁNICO 450XL KT509</v>
      </c>
      <c r="E42" s="7" t="str">
        <f>IFERROR(VLOOKUP(SALIDASBODEGA[[#This Row],[CÓDIGO PRODUCTO]],INVENTARIOBODEGA[],3,FALSE),"-")</f>
        <v>LT003</v>
      </c>
      <c r="F42" s="3">
        <v>1</v>
      </c>
    </row>
    <row r="43" spans="1:6" x14ac:dyDescent="0.2">
      <c r="A43" s="6">
        <v>40</v>
      </c>
      <c r="B43" s="21" t="s">
        <v>789</v>
      </c>
      <c r="C43" s="7" t="s">
        <v>523</v>
      </c>
      <c r="D43" s="7" t="str">
        <f>IFERROR(VLOOKUP(SALIDASBODEGA[[#This Row],[CÓDIGO PRODUCTO]],INVENTARIOBODEGA[],2,FALSE),"-")</f>
        <v>RODAMIENTO 450</v>
      </c>
      <c r="E43" s="7" t="str">
        <f>IFERROR(VLOOKUP(SALIDASBODEGA[[#This Row],[CÓDIGO PRODUCTO]],INVENTARIOBODEGA[],3,FALSE),"-")</f>
        <v>LT023</v>
      </c>
      <c r="F43" s="3">
        <v>1</v>
      </c>
    </row>
    <row r="44" spans="1:6" x14ac:dyDescent="0.2">
      <c r="A44" s="6">
        <v>41</v>
      </c>
      <c r="B44" s="21" t="s">
        <v>791</v>
      </c>
      <c r="C44" s="7" t="s">
        <v>559</v>
      </c>
      <c r="D44" s="7" t="str">
        <f>IFERROR(VLOOKUP(SALIDASBODEGA[[#This Row],[CÓDIGO PRODUCTO]],INVENTARIOBODEGA[],2,FALSE),"-")</f>
        <v>AKS - 38 DANFOSS</v>
      </c>
      <c r="E44" s="7" t="str">
        <f>IFERROR(VLOOKUP(SALIDASBODEGA[[#This Row],[CÓDIGO PRODUCTO]],INVENTARIOBODEGA[],3,FALSE),"-")</f>
        <v>LT032</v>
      </c>
      <c r="F44" s="3">
        <v>1</v>
      </c>
    </row>
    <row r="45" spans="1:6" x14ac:dyDescent="0.2">
      <c r="A45" s="6">
        <v>42</v>
      </c>
      <c r="B45" s="21">
        <v>45727</v>
      </c>
      <c r="C45" s="7" t="s">
        <v>205</v>
      </c>
      <c r="D45" s="7" t="str">
        <f>IFERROR(VLOOKUP(SALIDASBODEGA[[#This Row],[CÓDIGO PRODUCTO]],INVENTARIOBODEGA[],2,FALSE),"-")</f>
        <v>VISOR DE LÍQUIDO 60CM</v>
      </c>
      <c r="E45" s="7" t="str">
        <f>IFERROR(VLOOKUP(SALIDASBODEGA[[#This Row],[CÓDIGO PRODUCTO]],INVENTARIOBODEGA[],3,FALSE),"-")</f>
        <v>LT010</v>
      </c>
      <c r="F45" s="3">
        <v>1</v>
      </c>
    </row>
    <row r="46" spans="1:6" x14ac:dyDescent="0.2">
      <c r="A46" s="6">
        <v>43</v>
      </c>
      <c r="B46" s="21">
        <v>45727</v>
      </c>
      <c r="C46" s="7" t="s">
        <v>158</v>
      </c>
      <c r="D46" s="7" t="str">
        <f>IFERROR(VLOOKUP(SALIDASBODEGA[[#This Row],[CÓDIGO PRODUCTO]],INVENTARIOBODEGA[],2,FALSE),"-")</f>
        <v>SELLO MECÁNICO 440 KT508</v>
      </c>
      <c r="E46" s="7" t="str">
        <f>IFERROR(VLOOKUP(SALIDASBODEGA[[#This Row],[CÓDIGO PRODUCTO]],INVENTARIOBODEGA[],3,FALSE),"-")</f>
        <v>LT003</v>
      </c>
      <c r="F46" s="3">
        <v>1</v>
      </c>
    </row>
    <row r="47" spans="1:6" ht="16" x14ac:dyDescent="0.2">
      <c r="A47" s="6">
        <v>44</v>
      </c>
      <c r="B47" s="21">
        <v>45758</v>
      </c>
      <c r="C47" s="18" t="s">
        <v>161</v>
      </c>
      <c r="D47" s="7" t="str">
        <f>IFERROR(VLOOKUP(SALIDASBODEGA[[#This Row],[CÓDIGO PRODUCTO]],INVENTARIOBODEGA[],2,FALSE),"-")</f>
        <v>VÁLVULA DE SUCCIÓN</v>
      </c>
      <c r="E47" s="7" t="str">
        <f>IFERROR(VLOOKUP(SALIDASBODEGA[[#This Row],[CÓDIGO PRODUCTO]],INVENTARIOBODEGA[],3,FALSE),"-")</f>
        <v>LT005</v>
      </c>
      <c r="F47" s="3">
        <v>8</v>
      </c>
    </row>
    <row r="48" spans="1:6" ht="16" x14ac:dyDescent="0.2">
      <c r="A48" s="6">
        <v>45</v>
      </c>
      <c r="B48" s="21">
        <v>45758</v>
      </c>
      <c r="C48" s="18" t="s">
        <v>161</v>
      </c>
      <c r="D48" s="7" t="str">
        <f>IFERROR(VLOOKUP(SALIDASBODEGA[[#This Row],[CÓDIGO PRODUCTO]],INVENTARIOBODEGA[],2,FALSE),"-")</f>
        <v>VÁLVULA DE SUCCIÓN</v>
      </c>
      <c r="E48" s="7" t="str">
        <f>IFERROR(VLOOKUP(SALIDASBODEGA[[#This Row],[CÓDIGO PRODUCTO]],INVENTARIOBODEGA[],3,FALSE),"-")</f>
        <v>LT005</v>
      </c>
      <c r="F48" s="3">
        <v>8</v>
      </c>
    </row>
    <row r="49" spans="1:6" x14ac:dyDescent="0.2">
      <c r="A49" s="6">
        <v>46</v>
      </c>
      <c r="B49" s="21">
        <v>45758</v>
      </c>
      <c r="C49" s="7" t="s">
        <v>157</v>
      </c>
      <c r="D49" s="7" t="str">
        <f>IFERROR(VLOOKUP(SALIDASBODEGA[[#This Row],[CÓDIGO PRODUCTO]],INVENTARIOBODEGA[],2,FALSE),"-")</f>
        <v>SELLO MECÁNICO 450XL KT509</v>
      </c>
      <c r="E49" s="7" t="str">
        <f>IFERROR(VLOOKUP(SALIDASBODEGA[[#This Row],[CÓDIGO PRODUCTO]],INVENTARIOBODEGA[],3,FALSE),"-")</f>
        <v>LT003</v>
      </c>
      <c r="F49" s="3">
        <v>1</v>
      </c>
    </row>
    <row r="50" spans="1:6" x14ac:dyDescent="0.2">
      <c r="A50" s="6">
        <v>47</v>
      </c>
      <c r="B50" s="21">
        <v>45788</v>
      </c>
      <c r="C50" s="7" t="s">
        <v>226</v>
      </c>
      <c r="D50" s="7" t="str">
        <f>IFERROR(VLOOKUP(SALIDASBODEGA[[#This Row],[CÓDIGO PRODUCTO]],INVENTARIOBODEGA[],2,FALSE),"-")</f>
        <v>MANÓMETRO DE 2½ " 0-300PSI</v>
      </c>
      <c r="E50" s="7" t="str">
        <f>IFERROR(VLOOKUP(SALIDASBODEGA[[#This Row],[CÓDIGO PRODUCTO]],INVENTARIOBODEGA[],3,FALSE),"-")</f>
        <v>LT020</v>
      </c>
      <c r="F50" s="3">
        <v>2</v>
      </c>
    </row>
    <row r="51" spans="1:6" x14ac:dyDescent="0.2">
      <c r="A51" s="6">
        <v>48</v>
      </c>
      <c r="B51" s="21">
        <v>45788</v>
      </c>
      <c r="C51" s="7" t="s">
        <v>225</v>
      </c>
      <c r="D51" s="7" t="str">
        <f>IFERROR(VLOOKUP(SALIDASBODEGA[[#This Row],[CÓDIGO PRODUCTO]],INVENTARIOBODEGA[],2,FALSE),"-")</f>
        <v>MANÓMETRO 2 ½"  0-150PSI</v>
      </c>
      <c r="E51" s="7" t="str">
        <f>IFERROR(VLOOKUP(SALIDASBODEGA[[#This Row],[CÓDIGO PRODUCTO]],INVENTARIOBODEGA[],3,FALSE),"-")</f>
        <v>LT020</v>
      </c>
      <c r="F51" s="3">
        <v>1</v>
      </c>
    </row>
    <row r="52" spans="1:6" x14ac:dyDescent="0.2">
      <c r="A52" s="6">
        <v>49</v>
      </c>
      <c r="B52" s="21">
        <v>45819</v>
      </c>
      <c r="C52" s="7" t="s">
        <v>257</v>
      </c>
      <c r="D52" s="7" t="str">
        <f>IFERROR(VLOOKUP(SALIDASBODEGA[[#This Row],[CÓDIGO PRODUCTO]],INVENTARIOBODEGA[],2,FALSE),"-")</f>
        <v>KIT DE EMPAQUE BITZER TORNILLO 125 HP</v>
      </c>
      <c r="E52" s="7" t="str">
        <f>IFERROR(VLOOKUP(SALIDASBODEGA[[#This Row],[CÓDIGO PRODUCTO]],INVENTARIOBODEGA[],3,FALSE),"-")</f>
        <v>LT009</v>
      </c>
      <c r="F52" s="3">
        <v>1</v>
      </c>
    </row>
    <row r="53" spans="1:6" x14ac:dyDescent="0.2">
      <c r="A53" s="6">
        <v>50</v>
      </c>
      <c r="B53" s="21">
        <v>45819</v>
      </c>
      <c r="C53" s="7" t="s">
        <v>157</v>
      </c>
      <c r="D53" s="7" t="str">
        <f>IFERROR(VLOOKUP(SALIDASBODEGA[[#This Row],[CÓDIGO PRODUCTO]],INVENTARIOBODEGA[],2,FALSE),"-")</f>
        <v>SELLO MECÁNICO 450XL KT509</v>
      </c>
      <c r="E53" s="7" t="str">
        <f>IFERROR(VLOOKUP(SALIDASBODEGA[[#This Row],[CÓDIGO PRODUCTO]],INVENTARIOBODEGA[],3,FALSE),"-")</f>
        <v>LT003</v>
      </c>
      <c r="F53" s="3">
        <v>1</v>
      </c>
    </row>
    <row r="54" spans="1:6" x14ac:dyDescent="0.2">
      <c r="A54" s="6">
        <v>51</v>
      </c>
      <c r="B54" s="21">
        <v>45819</v>
      </c>
      <c r="C54" s="7" t="s">
        <v>559</v>
      </c>
      <c r="D54" s="7" t="str">
        <f>IFERROR(VLOOKUP(SALIDASBODEGA[[#This Row],[CÓDIGO PRODUCTO]],INVENTARIOBODEGA[],2,FALSE),"-")</f>
        <v>AKS - 38 DANFOSS</v>
      </c>
      <c r="E54" s="7" t="str">
        <f>IFERROR(VLOOKUP(SALIDASBODEGA[[#This Row],[CÓDIGO PRODUCTO]],INVENTARIOBODEGA[],3,FALSE),"-")</f>
        <v>LT032</v>
      </c>
      <c r="F54" s="3">
        <v>1</v>
      </c>
    </row>
    <row r="55" spans="1:6" x14ac:dyDescent="0.2">
      <c r="A55" s="6">
        <v>52</v>
      </c>
      <c r="B55" s="21" t="s">
        <v>793</v>
      </c>
      <c r="C55" s="7" t="s">
        <v>222</v>
      </c>
      <c r="D55" s="7" t="str">
        <f>IFERROR(VLOOKUP(SALIDASBODEGA[[#This Row],[CÓDIGO PRODUCTO]],INVENTARIOBODEGA[],2,FALSE),"-")</f>
        <v>CILINDRO 440 - KT072</v>
      </c>
      <c r="E55" s="7" t="str">
        <f>IFERROR(VLOOKUP(SALIDASBODEGA[[#This Row],[CÓDIGO PRODUCTO]],INVENTARIOBODEGA[],3,FALSE),"-")</f>
        <v>LT016</v>
      </c>
      <c r="F55" s="3">
        <v>4</v>
      </c>
    </row>
    <row r="56" spans="1:6" x14ac:dyDescent="0.2">
      <c r="A56" s="6">
        <v>53</v>
      </c>
      <c r="B56" s="21" t="s">
        <v>793</v>
      </c>
      <c r="C56" s="7" t="s">
        <v>576</v>
      </c>
      <c r="D56" s="7" t="str">
        <f>IFERROR(VLOOKUP(SALIDASBODEGA[[#This Row],[CÓDIGO PRODUCTO]],INVENTARIOBODEGA[],2,FALSE),"-")</f>
        <v>PISTON RINGS AND PIN KIT</v>
      </c>
      <c r="E56" s="7" t="str">
        <f>IFERROR(VLOOKUP(SALIDASBODEGA[[#This Row],[CÓDIGO PRODUCTO]],INVENTARIOBODEGA[],3,FALSE),"-")</f>
        <v>LT006</v>
      </c>
      <c r="F56" s="3">
        <v>4</v>
      </c>
    </row>
    <row r="57" spans="1:6" x14ac:dyDescent="0.2">
      <c r="A57" s="6">
        <v>54</v>
      </c>
      <c r="B57" s="21" t="s">
        <v>793</v>
      </c>
      <c r="C57" s="7" t="s">
        <v>240</v>
      </c>
      <c r="D57" s="7" t="str">
        <f>IFERROR(VLOOKUP(SALIDASBODEGA[[#This Row],[CÓDIGO PRODUCTO]],INVENTARIOBODEGA[],2,FALSE),"-")</f>
        <v>CHAPAS 440 STD</v>
      </c>
      <c r="E57" s="7" t="str">
        <f>IFERROR(VLOOKUP(SALIDASBODEGA[[#This Row],[CÓDIGO PRODUCTO]],INVENTARIOBODEGA[],3,FALSE),"-")</f>
        <v>LT019</v>
      </c>
      <c r="F57" s="3">
        <v>4</v>
      </c>
    </row>
    <row r="58" spans="1:6" x14ac:dyDescent="0.2">
      <c r="A58" s="6">
        <v>55</v>
      </c>
      <c r="B58" s="21" t="s">
        <v>793</v>
      </c>
      <c r="C58" s="7" t="s">
        <v>232</v>
      </c>
      <c r="D58" s="7" t="str">
        <f>IFERROR(VLOOKUP(SALIDASBODEGA[[#This Row],[CÓDIGO PRODUCTO]],INVENTARIOBODEGA[],2,FALSE),"-")</f>
        <v>KIT DE EMPAQUE KT049</v>
      </c>
      <c r="E58" s="7" t="str">
        <f>IFERROR(VLOOKUP(SALIDASBODEGA[[#This Row],[CÓDIGO PRODUCTO]],INVENTARIOBODEGA[],3,FALSE),"-")</f>
        <v>LT009</v>
      </c>
      <c r="F58" s="3">
        <v>1</v>
      </c>
    </row>
    <row r="59" spans="1:6" x14ac:dyDescent="0.2">
      <c r="A59" s="6">
        <v>56</v>
      </c>
      <c r="B59" s="21" t="s">
        <v>793</v>
      </c>
      <c r="C59" s="7" t="s">
        <v>785</v>
      </c>
      <c r="D59" s="7" t="str">
        <f>IFERROR(VLOOKUP(SALIDASBODEGA[[#This Row],[CÓDIGO PRODUCTO]],INVENTARIOBODEGA[],2,FALSE),"-")</f>
        <v>BOMBA DE ACEITE ORIGINAL VILTER</v>
      </c>
      <c r="E59" s="7" t="str">
        <f>IFERROR(VLOOKUP(SALIDASBODEGA[[#This Row],[CÓDIGO PRODUCTO]],INVENTARIOBODEGA[],3,FALSE),"-")</f>
        <v>LT025</v>
      </c>
      <c r="F59" s="3">
        <v>1</v>
      </c>
    </row>
    <row r="60" spans="1:6" x14ac:dyDescent="0.2">
      <c r="A60" s="6">
        <v>57</v>
      </c>
      <c r="B60" s="21" t="s">
        <v>793</v>
      </c>
      <c r="C60" s="7" t="s">
        <v>161</v>
      </c>
      <c r="D60" s="7" t="str">
        <f>IFERROR(VLOOKUP(SALIDASBODEGA[[#This Row],[CÓDIGO PRODUCTO]],INVENTARIOBODEGA[],2,FALSE),"-")</f>
        <v>VÁLVULA DE SUCCIÓN</v>
      </c>
      <c r="E60" s="7" t="str">
        <f>IFERROR(VLOOKUP(SALIDASBODEGA[[#This Row],[CÓDIGO PRODUCTO]],INVENTARIOBODEGA[],3,FALSE),"-")</f>
        <v>LT005</v>
      </c>
      <c r="F60" s="3">
        <v>4</v>
      </c>
    </row>
    <row r="61" spans="1:6" x14ac:dyDescent="0.2">
      <c r="A61" s="6">
        <v>58</v>
      </c>
      <c r="B61" s="21" t="s">
        <v>793</v>
      </c>
      <c r="C61" s="7" t="s">
        <v>162</v>
      </c>
      <c r="D61" s="7" t="str">
        <f>IFERROR(VLOOKUP(SALIDASBODEGA[[#This Row],[CÓDIGO PRODUCTO]],INVENTARIOBODEGA[],2,FALSE),"-")</f>
        <v>VÁLVULA DE DESCARGA 440</v>
      </c>
      <c r="E61" s="7" t="str">
        <f>IFERROR(VLOOKUP(SALIDASBODEGA[[#This Row],[CÓDIGO PRODUCTO]],INVENTARIOBODEGA[],3,FALSE),"-")</f>
        <v>LT005</v>
      </c>
      <c r="F61" s="3">
        <v>12</v>
      </c>
    </row>
    <row r="62" spans="1:6" x14ac:dyDescent="0.2">
      <c r="A62" s="6">
        <v>59</v>
      </c>
      <c r="B62" s="21" t="s">
        <v>793</v>
      </c>
      <c r="C62" s="7" t="s">
        <v>158</v>
      </c>
      <c r="D62" s="7" t="str">
        <f>IFERROR(VLOOKUP(SALIDASBODEGA[[#This Row],[CÓDIGO PRODUCTO]],INVENTARIOBODEGA[],2,FALSE),"-")</f>
        <v>SELLO MECÁNICO 440 KT508</v>
      </c>
      <c r="E62" s="7" t="str">
        <f>IFERROR(VLOOKUP(SALIDASBODEGA[[#This Row],[CÓDIGO PRODUCTO]],INVENTARIOBODEGA[],3,FALSE),"-")</f>
        <v>LT003</v>
      </c>
      <c r="F62" s="3">
        <v>1</v>
      </c>
    </row>
    <row r="63" spans="1:6" ht="16" x14ac:dyDescent="0.2">
      <c r="A63" s="6">
        <v>60</v>
      </c>
      <c r="B63" s="21" t="s">
        <v>794</v>
      </c>
      <c r="C63" s="18" t="s">
        <v>170</v>
      </c>
      <c r="D63" s="7" t="str">
        <f>IFERROR(VLOOKUP(SALIDASBODEGA[[#This Row],[CÓDIGO PRODUCTO]],INVENTARIOBODEGA[],2,FALSE),"-")</f>
        <v>VÁLVULA DE EXPANSIÓN MANUAL PARKER ½</v>
      </c>
      <c r="E63" s="7" t="str">
        <f>IFERROR(VLOOKUP(SALIDASBODEGA[[#This Row],[CÓDIGO PRODUCTO]],INVENTARIOBODEGA[],3,FALSE),"-")</f>
        <v>LT005</v>
      </c>
      <c r="F63" s="3">
        <v>2</v>
      </c>
    </row>
    <row r="64" spans="1:6" x14ac:dyDescent="0.2">
      <c r="A64" s="6">
        <v>61</v>
      </c>
      <c r="B64" s="21" t="s">
        <v>795</v>
      </c>
      <c r="C64" s="7" t="s">
        <v>189</v>
      </c>
      <c r="D64" s="7" t="str">
        <f>IFERROR(VLOOKUP(SALIDASBODEGA[[#This Row],[CÓDIGO PRODUCTO]],INVENTARIOBODEGA[],2,FALSE),"-")</f>
        <v>FILTRO DE ACEITE FRICK RDB 100</v>
      </c>
      <c r="E64" s="7" t="str">
        <f>IFERROR(VLOOKUP(SALIDASBODEGA[[#This Row],[CÓDIGO PRODUCTO]],INVENTARIOBODEGA[],3,FALSE),"-")</f>
        <v>LT008</v>
      </c>
      <c r="F64" s="3">
        <v>2</v>
      </c>
    </row>
    <row r="65" spans="1:6" ht="16" x14ac:dyDescent="0.2">
      <c r="A65" s="6">
        <v>62</v>
      </c>
      <c r="B65" s="21" t="s">
        <v>796</v>
      </c>
      <c r="C65" s="18" t="s">
        <v>190</v>
      </c>
      <c r="D65" s="7" t="str">
        <f>IFERROR(VLOOKUP(SALIDASBODEGA[[#This Row],[CÓDIGO PRODUCTO]],INVENTARIOBODEGA[],2,FALSE),"-")</f>
        <v>SUPER FILTRO FRICK RXF 50</v>
      </c>
      <c r="E65" s="7" t="str">
        <f>IFERROR(VLOOKUP(SALIDASBODEGA[[#This Row],[CÓDIGO PRODUCTO]],INVENTARIOBODEGA[],3,FALSE),"-")</f>
        <v>LT008</v>
      </c>
      <c r="F65" s="3">
        <v>1</v>
      </c>
    </row>
    <row r="66" spans="1:6" ht="16" x14ac:dyDescent="0.2">
      <c r="A66" s="6">
        <v>63</v>
      </c>
      <c r="B66" s="21" t="s">
        <v>797</v>
      </c>
      <c r="C66" s="18" t="s">
        <v>169</v>
      </c>
      <c r="D66" s="7" t="str">
        <f>IFERROR(VLOOKUP(SALIDASBODEGA[[#This Row],[CÓDIGO PRODUCTO]],INVENTARIOBODEGA[],2,FALSE),"-")</f>
        <v>VÁLVULA DE PASO ANGULAR 2" - DANFOSS</v>
      </c>
      <c r="E66" s="7" t="str">
        <f>IFERROR(VLOOKUP(SALIDASBODEGA[[#This Row],[CÓDIGO PRODUCTO]],INVENTARIOBODEGA[],3,FALSE),"-")</f>
        <v>LT005</v>
      </c>
      <c r="F66" s="3">
        <v>6</v>
      </c>
    </row>
    <row r="67" spans="1:6" x14ac:dyDescent="0.2">
      <c r="A67" s="6">
        <v>64</v>
      </c>
      <c r="B67" s="21" t="s">
        <v>797</v>
      </c>
      <c r="C67" s="7" t="s">
        <v>170</v>
      </c>
      <c r="D67" s="7" t="str">
        <f>IFERROR(VLOOKUP(SALIDASBODEGA[[#This Row],[CÓDIGO PRODUCTO]],INVENTARIOBODEGA[],2,FALSE),"-")</f>
        <v>VÁLVULA DE EXPANSIÓN MANUAL PARKER ½</v>
      </c>
      <c r="E67" s="7" t="str">
        <f>IFERROR(VLOOKUP(SALIDASBODEGA[[#This Row],[CÓDIGO PRODUCTO]],INVENTARIOBODEGA[],3,FALSE),"-")</f>
        <v>LT005</v>
      </c>
      <c r="F67" s="3">
        <v>6</v>
      </c>
    </row>
    <row r="68" spans="1:6" x14ac:dyDescent="0.2">
      <c r="A68" s="6">
        <v>65</v>
      </c>
      <c r="B68" s="21">
        <v>45916</v>
      </c>
      <c r="C68" s="7"/>
      <c r="D68" s="7" t="str">
        <f>IFERROR(VLOOKUP(SALIDASBODEGA[[#This Row],[CÓDIGO PRODUCTO]],INVENTARIOBODEGA[],2,FALSE),"-")</f>
        <v>-</v>
      </c>
      <c r="E68" s="7" t="str">
        <f>IFERROR(VLOOKUP(SALIDASBODEGA[[#This Row],[CÓDIGO PRODUCTO]],INVENTARIOBODEGA[],3,FALSE),"-")</f>
        <v>-</v>
      </c>
      <c r="F68" s="3"/>
    </row>
    <row r="69" spans="1:6" x14ac:dyDescent="0.2">
      <c r="A69" s="6">
        <v>66</v>
      </c>
      <c r="B69" s="21">
        <v>45916</v>
      </c>
      <c r="C69" s="7"/>
      <c r="D69" s="7" t="str">
        <f>IFERROR(VLOOKUP(SALIDASBODEGA[[#This Row],[CÓDIGO PRODUCTO]],INVENTARIOBODEGA[],2,FALSE),"-")</f>
        <v>-</v>
      </c>
      <c r="E69" s="7" t="str">
        <f>IFERROR(VLOOKUP(SALIDASBODEGA[[#This Row],[CÓDIGO PRODUCTO]],INVENTARIOBODEGA[],3,FALSE),"-")</f>
        <v>-</v>
      </c>
      <c r="F69" s="3"/>
    </row>
    <row r="70" spans="1:6" x14ac:dyDescent="0.2">
      <c r="A70" s="6">
        <v>67</v>
      </c>
      <c r="B70" s="21">
        <v>45916</v>
      </c>
      <c r="C70" s="7"/>
      <c r="D70" s="7" t="str">
        <f>IFERROR(VLOOKUP(SALIDASBODEGA[[#This Row],[CÓDIGO PRODUCTO]],INVENTARIOBODEGA[],2,FALSE),"-")</f>
        <v>-</v>
      </c>
      <c r="E70" s="7" t="str">
        <f>IFERROR(VLOOKUP(SALIDASBODEGA[[#This Row],[CÓDIGO PRODUCTO]],INVENTARIOBODEGA[],3,FALSE),"-")</f>
        <v>-</v>
      </c>
      <c r="F70" s="3"/>
    </row>
    <row r="71" spans="1:6" x14ac:dyDescent="0.2">
      <c r="A71" s="6">
        <v>68</v>
      </c>
      <c r="B71" s="21">
        <v>45916</v>
      </c>
      <c r="C71" s="7"/>
      <c r="D71" s="7" t="str">
        <f>IFERROR(VLOOKUP(SALIDASBODEGA[[#This Row],[CÓDIGO PRODUCTO]],INVENTARIOBODEGA[],2,FALSE),"-")</f>
        <v>-</v>
      </c>
      <c r="E71" s="7" t="str">
        <f>IFERROR(VLOOKUP(SALIDASBODEGA[[#This Row],[CÓDIGO PRODUCTO]],INVENTARIOBODEGA[],3,FALSE),"-")</f>
        <v>-</v>
      </c>
      <c r="F71" s="3"/>
    </row>
    <row r="72" spans="1:6" x14ac:dyDescent="0.2">
      <c r="A72" s="6">
        <v>69</v>
      </c>
      <c r="B72" s="21">
        <v>45916</v>
      </c>
      <c r="C72" s="7"/>
      <c r="D72" s="7" t="str">
        <f>IFERROR(VLOOKUP(SALIDASBODEGA[[#This Row],[CÓDIGO PRODUCTO]],INVENTARIOBODEGA[],2,FALSE),"-")</f>
        <v>-</v>
      </c>
      <c r="E72" s="7" t="str">
        <f>IFERROR(VLOOKUP(SALIDASBODEGA[[#This Row],[CÓDIGO PRODUCTO]],INVENTARIOBODEGA[],3,FALSE),"-")</f>
        <v>-</v>
      </c>
      <c r="F72" s="3"/>
    </row>
    <row r="73" spans="1:6" x14ac:dyDescent="0.2">
      <c r="A73" s="6">
        <v>70</v>
      </c>
      <c r="B73" s="21">
        <v>45916</v>
      </c>
      <c r="C73" s="7"/>
      <c r="D73" s="7" t="str">
        <f>IFERROR(VLOOKUP(SALIDASBODEGA[[#This Row],[CÓDIGO PRODUCTO]],INVENTARIOBODEGA[],2,FALSE),"-")</f>
        <v>-</v>
      </c>
      <c r="E73" s="7" t="str">
        <f>IFERROR(VLOOKUP(SALIDASBODEGA[[#This Row],[CÓDIGO PRODUCTO]],INVENTARIOBODEGA[],3,FALSE),"-")</f>
        <v>-</v>
      </c>
      <c r="F73" s="3"/>
    </row>
    <row r="74" spans="1:6" x14ac:dyDescent="0.2">
      <c r="A74" s="6">
        <v>71</v>
      </c>
      <c r="B74" s="21">
        <v>45916</v>
      </c>
      <c r="C74" s="7"/>
      <c r="D74" s="7" t="str">
        <f>IFERROR(VLOOKUP(SALIDASBODEGA[[#This Row],[CÓDIGO PRODUCTO]],INVENTARIOBODEGA[],2,FALSE),"-")</f>
        <v>-</v>
      </c>
      <c r="E74" s="7" t="str">
        <f>IFERROR(VLOOKUP(SALIDASBODEGA[[#This Row],[CÓDIGO PRODUCTO]],INVENTARIOBODEGA[],3,FALSE),"-")</f>
        <v>-</v>
      </c>
      <c r="F74" s="3"/>
    </row>
    <row r="75" spans="1:6" x14ac:dyDescent="0.2">
      <c r="A75" s="6">
        <v>72</v>
      </c>
      <c r="B75" s="21">
        <v>45916</v>
      </c>
      <c r="C75" s="7"/>
      <c r="D75" s="7" t="str">
        <f>IFERROR(VLOOKUP(SALIDASBODEGA[[#This Row],[CÓDIGO PRODUCTO]],INVENTARIOBODEGA[],2,FALSE),"-")</f>
        <v>-</v>
      </c>
      <c r="E75" s="7" t="str">
        <f>IFERROR(VLOOKUP(SALIDASBODEGA[[#This Row],[CÓDIGO PRODUCTO]],INVENTARIOBODEGA[],3,FALSE),"-")</f>
        <v>-</v>
      </c>
      <c r="F75" s="3"/>
    </row>
    <row r="76" spans="1:6" x14ac:dyDescent="0.2">
      <c r="A76" s="6">
        <v>73</v>
      </c>
      <c r="B76" s="21">
        <v>45916</v>
      </c>
      <c r="C76" s="7"/>
      <c r="D76" s="7" t="str">
        <f>IFERROR(VLOOKUP(SALIDASBODEGA[[#This Row],[CÓDIGO PRODUCTO]],INVENTARIOBODEGA[],2,FALSE),"-")</f>
        <v>-</v>
      </c>
      <c r="E76" s="7" t="str">
        <f>IFERROR(VLOOKUP(SALIDASBODEGA[[#This Row],[CÓDIGO PRODUCTO]],INVENTARIOBODEGA[],3,FALSE),"-")</f>
        <v>-</v>
      </c>
      <c r="F76" s="3"/>
    </row>
    <row r="77" spans="1:6" x14ac:dyDescent="0.2">
      <c r="A77" s="6">
        <v>74</v>
      </c>
      <c r="B77" s="21">
        <v>45916</v>
      </c>
      <c r="C77" s="7"/>
      <c r="D77" s="7" t="str">
        <f>IFERROR(VLOOKUP(SALIDASBODEGA[[#This Row],[CÓDIGO PRODUCTO]],INVENTARIOBODEGA[],2,FALSE),"-")</f>
        <v>-</v>
      </c>
      <c r="E77" s="7" t="str">
        <f>IFERROR(VLOOKUP(SALIDASBODEGA[[#This Row],[CÓDIGO PRODUCTO]],INVENTARIOBODEGA[],3,FALSE),"-")</f>
        <v>-</v>
      </c>
      <c r="F77" s="3"/>
    </row>
    <row r="78" spans="1:6" x14ac:dyDescent="0.2">
      <c r="A78" s="6">
        <v>75</v>
      </c>
      <c r="B78" s="21">
        <v>45916</v>
      </c>
      <c r="C78" s="7"/>
      <c r="D78" s="7" t="str">
        <f>IFERROR(VLOOKUP(SALIDASBODEGA[[#This Row],[CÓDIGO PRODUCTO]],INVENTARIOBODEGA[],2,FALSE),"-")</f>
        <v>-</v>
      </c>
      <c r="E78" s="7" t="str">
        <f>IFERROR(VLOOKUP(SALIDASBODEGA[[#This Row],[CÓDIGO PRODUCTO]],INVENTARIOBODEGA[],3,FALSE),"-")</f>
        <v>-</v>
      </c>
      <c r="F78" s="3"/>
    </row>
    <row r="79" spans="1:6" x14ac:dyDescent="0.2">
      <c r="A79" s="6">
        <v>76</v>
      </c>
      <c r="B79" s="21">
        <v>45916</v>
      </c>
      <c r="C79" s="7"/>
      <c r="D79" s="7" t="str">
        <f>IFERROR(VLOOKUP(SALIDASBODEGA[[#This Row],[CÓDIGO PRODUCTO]],INVENTARIOBODEGA[],2,FALSE),"-")</f>
        <v>-</v>
      </c>
      <c r="E79" s="7" t="str">
        <f>IFERROR(VLOOKUP(SALIDASBODEGA[[#This Row],[CÓDIGO PRODUCTO]],INVENTARIOBODEGA[],3,FALSE),"-")</f>
        <v>-</v>
      </c>
      <c r="F79" s="3"/>
    </row>
    <row r="80" spans="1:6" x14ac:dyDescent="0.2">
      <c r="A80" s="6">
        <v>77</v>
      </c>
      <c r="B80" s="21">
        <v>45916</v>
      </c>
      <c r="C80" s="7"/>
      <c r="D80" s="7" t="str">
        <f>IFERROR(VLOOKUP(SALIDASBODEGA[[#This Row],[CÓDIGO PRODUCTO]],INVENTARIOBODEGA[],2,FALSE),"-")</f>
        <v>-</v>
      </c>
      <c r="E80" s="7" t="str">
        <f>IFERROR(VLOOKUP(SALIDASBODEGA[[#This Row],[CÓDIGO PRODUCTO]],INVENTARIOBODEGA[],3,FALSE),"-")</f>
        <v>-</v>
      </c>
      <c r="F80" s="3"/>
    </row>
    <row r="81" spans="1:6" x14ac:dyDescent="0.2">
      <c r="A81" s="6">
        <v>78</v>
      </c>
      <c r="B81" s="21">
        <v>45916</v>
      </c>
      <c r="C81" s="7"/>
      <c r="D81" s="7" t="str">
        <f>IFERROR(VLOOKUP(SALIDASBODEGA[[#This Row],[CÓDIGO PRODUCTO]],INVENTARIOBODEGA[],2,FALSE),"-")</f>
        <v>-</v>
      </c>
      <c r="E81" s="7" t="str">
        <f>IFERROR(VLOOKUP(SALIDASBODEGA[[#This Row],[CÓDIGO PRODUCTO]],INVENTARIOBODEGA[],3,FALSE),"-")</f>
        <v>-</v>
      </c>
      <c r="F81" s="3"/>
    </row>
    <row r="82" spans="1:6" x14ac:dyDescent="0.2">
      <c r="A82" s="6">
        <v>79</v>
      </c>
      <c r="B82" s="21">
        <v>45916</v>
      </c>
      <c r="C82" s="7"/>
      <c r="D82" s="7" t="str">
        <f>IFERROR(VLOOKUP(SALIDASBODEGA[[#This Row],[CÓDIGO PRODUCTO]],INVENTARIOBODEGA[],2,FALSE),"-")</f>
        <v>-</v>
      </c>
      <c r="E82" s="7" t="str">
        <f>IFERROR(VLOOKUP(SALIDASBODEGA[[#This Row],[CÓDIGO PRODUCTO]],INVENTARIOBODEGA[],3,FALSE),"-")</f>
        <v>-</v>
      </c>
      <c r="F82" s="3"/>
    </row>
    <row r="83" spans="1:6" x14ac:dyDescent="0.2">
      <c r="A83" s="6">
        <v>80</v>
      </c>
      <c r="B83" s="21">
        <v>45916</v>
      </c>
      <c r="C83" s="7"/>
      <c r="D83" s="7" t="str">
        <f>IFERROR(VLOOKUP(SALIDASBODEGA[[#This Row],[CÓDIGO PRODUCTO]],INVENTARIOBODEGA[],2,FALSE),"-")</f>
        <v>-</v>
      </c>
      <c r="E83" s="7" t="str">
        <f>IFERROR(VLOOKUP(SALIDASBODEGA[[#This Row],[CÓDIGO PRODUCTO]],INVENTARIOBODEGA[],3,FALSE),"-")</f>
        <v>-</v>
      </c>
      <c r="F83" s="3"/>
    </row>
    <row r="84" spans="1:6" x14ac:dyDescent="0.2">
      <c r="A84" s="6">
        <v>81</v>
      </c>
      <c r="B84" s="21">
        <v>45916</v>
      </c>
      <c r="C84" s="7"/>
      <c r="D84" s="7" t="str">
        <f>IFERROR(VLOOKUP(SALIDASBODEGA[[#This Row],[CÓDIGO PRODUCTO]],INVENTARIOBODEGA[],2,FALSE),"-")</f>
        <v>-</v>
      </c>
      <c r="E84" s="7" t="str">
        <f>IFERROR(VLOOKUP(SALIDASBODEGA[[#This Row],[CÓDIGO PRODUCTO]],INVENTARIOBODEGA[],3,FALSE),"-")</f>
        <v>-</v>
      </c>
      <c r="F84" s="3"/>
    </row>
    <row r="85" spans="1:6" x14ac:dyDescent="0.2">
      <c r="A85" s="6">
        <v>82</v>
      </c>
      <c r="B85" s="21">
        <v>45916</v>
      </c>
      <c r="C85" s="7"/>
      <c r="D85" s="7" t="str">
        <f>IFERROR(VLOOKUP(SALIDASBODEGA[[#This Row],[CÓDIGO PRODUCTO]],INVENTARIOBODEGA[],2,FALSE),"-")</f>
        <v>-</v>
      </c>
      <c r="E85" s="7" t="str">
        <f>IFERROR(VLOOKUP(SALIDASBODEGA[[#This Row],[CÓDIGO PRODUCTO]],INVENTARIOBODEGA[],3,FALSE),"-")</f>
        <v>-</v>
      </c>
      <c r="F85" s="3"/>
    </row>
    <row r="86" spans="1:6" x14ac:dyDescent="0.2">
      <c r="A86" s="6">
        <v>83</v>
      </c>
      <c r="B86" s="21">
        <v>45916</v>
      </c>
      <c r="C86" s="7"/>
      <c r="D86" s="7" t="str">
        <f>IFERROR(VLOOKUP(SALIDASBODEGA[[#This Row],[CÓDIGO PRODUCTO]],INVENTARIOBODEGA[],2,FALSE),"-")</f>
        <v>-</v>
      </c>
      <c r="E86" s="7" t="str">
        <f>IFERROR(VLOOKUP(SALIDASBODEGA[[#This Row],[CÓDIGO PRODUCTO]],INVENTARIOBODEGA[],3,FALSE),"-")</f>
        <v>-</v>
      </c>
      <c r="F86" s="3"/>
    </row>
    <row r="87" spans="1:6" x14ac:dyDescent="0.2">
      <c r="A87" s="6">
        <v>84</v>
      </c>
      <c r="B87" s="21">
        <v>45916</v>
      </c>
      <c r="C87" s="7"/>
      <c r="D87" s="7" t="str">
        <f>IFERROR(VLOOKUP(SALIDASBODEGA[[#This Row],[CÓDIGO PRODUCTO]],INVENTARIOBODEGA[],2,FALSE),"-")</f>
        <v>-</v>
      </c>
      <c r="E87" s="7" t="str">
        <f>IFERROR(VLOOKUP(SALIDASBODEGA[[#This Row],[CÓDIGO PRODUCTO]],INVENTARIOBODEGA[],3,FALSE),"-")</f>
        <v>-</v>
      </c>
      <c r="F87" s="3"/>
    </row>
    <row r="88" spans="1:6" x14ac:dyDescent="0.2">
      <c r="A88" s="6">
        <v>85</v>
      </c>
      <c r="B88" s="21">
        <v>45916</v>
      </c>
      <c r="C88" s="7"/>
      <c r="D88" s="7" t="str">
        <f>IFERROR(VLOOKUP(SALIDASBODEGA[[#This Row],[CÓDIGO PRODUCTO]],INVENTARIOBODEGA[],2,FALSE),"-")</f>
        <v>-</v>
      </c>
      <c r="E88" s="7" t="str">
        <f>IFERROR(VLOOKUP(SALIDASBODEGA[[#This Row],[CÓDIGO PRODUCTO]],INVENTARIOBODEGA[],3,FALSE),"-")</f>
        <v>-</v>
      </c>
      <c r="F88" s="3"/>
    </row>
    <row r="89" spans="1:6" x14ac:dyDescent="0.2">
      <c r="A89" s="6">
        <v>86</v>
      </c>
      <c r="B89" s="21">
        <v>45916</v>
      </c>
      <c r="C89" s="7"/>
      <c r="D89" s="7" t="str">
        <f>IFERROR(VLOOKUP(SALIDASBODEGA[[#This Row],[CÓDIGO PRODUCTO]],INVENTARIOBODEGA[],2,FALSE),"-")</f>
        <v>-</v>
      </c>
      <c r="E89" s="7" t="str">
        <f>IFERROR(VLOOKUP(SALIDASBODEGA[[#This Row],[CÓDIGO PRODUCTO]],INVENTARIOBODEGA[],3,FALSE),"-")</f>
        <v>-</v>
      </c>
      <c r="F89" s="3"/>
    </row>
    <row r="90" spans="1:6" x14ac:dyDescent="0.2">
      <c r="A90" s="6">
        <v>87</v>
      </c>
      <c r="B90" s="21">
        <v>45916</v>
      </c>
      <c r="C90" s="7"/>
      <c r="D90" s="7" t="str">
        <f>IFERROR(VLOOKUP(SALIDASBODEGA[[#This Row],[CÓDIGO PRODUCTO]],INVENTARIOBODEGA[],2,FALSE),"-")</f>
        <v>-</v>
      </c>
      <c r="E90" s="7" t="str">
        <f>IFERROR(VLOOKUP(SALIDASBODEGA[[#This Row],[CÓDIGO PRODUCTO]],INVENTARIOBODEGA[],3,FALSE),"-")</f>
        <v>-</v>
      </c>
      <c r="F90" s="3"/>
    </row>
    <row r="91" spans="1:6" x14ac:dyDescent="0.2">
      <c r="A91" s="6">
        <v>88</v>
      </c>
      <c r="B91" s="21">
        <v>45916</v>
      </c>
      <c r="C91" s="7"/>
      <c r="D91" s="7" t="str">
        <f>IFERROR(VLOOKUP(SALIDASBODEGA[[#This Row],[CÓDIGO PRODUCTO]],INVENTARIOBODEGA[],2,FALSE),"-")</f>
        <v>-</v>
      </c>
      <c r="E91" s="7" t="str">
        <f>IFERROR(VLOOKUP(SALIDASBODEGA[[#This Row],[CÓDIGO PRODUCTO]],INVENTARIOBODEGA[],3,FALSE),"-")</f>
        <v>-</v>
      </c>
      <c r="F91" s="3"/>
    </row>
    <row r="92" spans="1:6" x14ac:dyDescent="0.2">
      <c r="A92" s="6">
        <v>89</v>
      </c>
      <c r="B92" s="21">
        <v>45916</v>
      </c>
      <c r="C92" s="7"/>
      <c r="D92" s="7" t="str">
        <f>IFERROR(VLOOKUP(SALIDASBODEGA[[#This Row],[CÓDIGO PRODUCTO]],INVENTARIOBODEGA[],2,FALSE),"-")</f>
        <v>-</v>
      </c>
      <c r="E92" s="7" t="str">
        <f>IFERROR(VLOOKUP(SALIDASBODEGA[[#This Row],[CÓDIGO PRODUCTO]],INVENTARIOBODEGA[],3,FALSE),"-")</f>
        <v>-</v>
      </c>
      <c r="F92" s="3"/>
    </row>
    <row r="93" spans="1:6" x14ac:dyDescent="0.2">
      <c r="A93" s="6">
        <v>90</v>
      </c>
      <c r="B93" s="21">
        <v>45916</v>
      </c>
      <c r="C93" s="7"/>
      <c r="D93" s="7" t="str">
        <f>IFERROR(VLOOKUP(SALIDASBODEGA[[#This Row],[CÓDIGO PRODUCTO]],INVENTARIOBODEGA[],2,FALSE),"-")</f>
        <v>-</v>
      </c>
      <c r="E93" s="7" t="str">
        <f>IFERROR(VLOOKUP(SALIDASBODEGA[[#This Row],[CÓDIGO PRODUCTO]],INVENTARIOBODEGA[],3,FALSE),"-")</f>
        <v>-</v>
      </c>
      <c r="F93" s="3"/>
    </row>
    <row r="94" spans="1:6" x14ac:dyDescent="0.2">
      <c r="A94" s="6">
        <v>91</v>
      </c>
      <c r="B94" s="21">
        <v>45916</v>
      </c>
      <c r="C94" s="7"/>
      <c r="D94" s="7" t="str">
        <f>IFERROR(VLOOKUP(SALIDASBODEGA[[#This Row],[CÓDIGO PRODUCTO]],INVENTARIOBODEGA[],2,FALSE),"-")</f>
        <v>-</v>
      </c>
      <c r="E94" s="7" t="str">
        <f>IFERROR(VLOOKUP(SALIDASBODEGA[[#This Row],[CÓDIGO PRODUCTO]],INVENTARIOBODEGA[],3,FALSE),"-")</f>
        <v>-</v>
      </c>
      <c r="F94" s="3"/>
    </row>
    <row r="95" spans="1:6" x14ac:dyDescent="0.2">
      <c r="A95" s="6">
        <v>92</v>
      </c>
      <c r="B95" s="21">
        <v>45916</v>
      </c>
      <c r="C95" s="7"/>
      <c r="D95" s="7" t="str">
        <f>IFERROR(VLOOKUP(SALIDASBODEGA[[#This Row],[CÓDIGO PRODUCTO]],INVENTARIOBODEGA[],2,FALSE),"-")</f>
        <v>-</v>
      </c>
      <c r="E95" s="7" t="str">
        <f>IFERROR(VLOOKUP(SALIDASBODEGA[[#This Row],[CÓDIGO PRODUCTO]],INVENTARIOBODEGA[],3,FALSE),"-")</f>
        <v>-</v>
      </c>
      <c r="F95" s="3"/>
    </row>
    <row r="96" spans="1:6" x14ac:dyDescent="0.2">
      <c r="A96" s="6">
        <v>93</v>
      </c>
      <c r="B96" s="21">
        <v>45916</v>
      </c>
      <c r="C96" s="7"/>
      <c r="D96" s="7" t="str">
        <f>IFERROR(VLOOKUP(SALIDASBODEGA[[#This Row],[CÓDIGO PRODUCTO]],INVENTARIOBODEGA[],2,FALSE),"-")</f>
        <v>-</v>
      </c>
      <c r="E96" s="7" t="str">
        <f>IFERROR(VLOOKUP(SALIDASBODEGA[[#This Row],[CÓDIGO PRODUCTO]],INVENTARIOBODEGA[],3,FALSE),"-")</f>
        <v>-</v>
      </c>
      <c r="F96" s="3"/>
    </row>
    <row r="97" spans="1:6" x14ac:dyDescent="0.2">
      <c r="A97" s="6">
        <v>94</v>
      </c>
      <c r="B97" s="21">
        <v>45916</v>
      </c>
      <c r="C97" s="7"/>
      <c r="D97" s="7" t="str">
        <f>IFERROR(VLOOKUP(SALIDASBODEGA[[#This Row],[CÓDIGO PRODUCTO]],INVENTARIOBODEGA[],2,FALSE),"-")</f>
        <v>-</v>
      </c>
      <c r="E97" s="7" t="str">
        <f>IFERROR(VLOOKUP(SALIDASBODEGA[[#This Row],[CÓDIGO PRODUCTO]],INVENTARIOBODEGA[],3,FALSE),"-")</f>
        <v>-</v>
      </c>
      <c r="F97" s="3"/>
    </row>
    <row r="98" spans="1:6" x14ac:dyDescent="0.2">
      <c r="A98" s="6">
        <v>95</v>
      </c>
      <c r="B98" s="21">
        <v>45916</v>
      </c>
      <c r="C98" s="7"/>
      <c r="D98" s="7" t="str">
        <f>IFERROR(VLOOKUP(SALIDASBODEGA[[#This Row],[CÓDIGO PRODUCTO]],INVENTARIOBODEGA[],2,FALSE),"-")</f>
        <v>-</v>
      </c>
      <c r="E98" s="7" t="str">
        <f>IFERROR(VLOOKUP(SALIDASBODEGA[[#This Row],[CÓDIGO PRODUCTO]],INVENTARIOBODEGA[],3,FALSE),"-")</f>
        <v>-</v>
      </c>
      <c r="F98" s="3"/>
    </row>
    <row r="99" spans="1:6" x14ac:dyDescent="0.2">
      <c r="A99" s="6">
        <v>96</v>
      </c>
      <c r="B99" s="21">
        <v>45916</v>
      </c>
      <c r="C99" s="7"/>
      <c r="D99" s="7" t="str">
        <f>IFERROR(VLOOKUP(SALIDASBODEGA[[#This Row],[CÓDIGO PRODUCTO]],INVENTARIOBODEGA[],2,FALSE),"-")</f>
        <v>-</v>
      </c>
      <c r="E99" s="7" t="str">
        <f>IFERROR(VLOOKUP(SALIDASBODEGA[[#This Row],[CÓDIGO PRODUCTO]],INVENTARIOBODEGA[],3,FALSE),"-")</f>
        <v>-</v>
      </c>
      <c r="F99" s="3"/>
    </row>
    <row r="100" spans="1:6" x14ac:dyDescent="0.2">
      <c r="A100" s="6">
        <v>97</v>
      </c>
      <c r="B100" s="21">
        <v>45916</v>
      </c>
      <c r="C100" s="7"/>
      <c r="D100" s="7" t="str">
        <f>IFERROR(VLOOKUP(SALIDASBODEGA[[#This Row],[CÓDIGO PRODUCTO]],INVENTARIOBODEGA[],2,FALSE),"-")</f>
        <v>-</v>
      </c>
      <c r="E100" s="7" t="str">
        <f>IFERROR(VLOOKUP(SALIDASBODEGA[[#This Row],[CÓDIGO PRODUCTO]],INVENTARIOBODEGA[],3,FALSE),"-")</f>
        <v>-</v>
      </c>
      <c r="F100" s="3"/>
    </row>
    <row r="101" spans="1:6" x14ac:dyDescent="0.2">
      <c r="A101" s="6">
        <v>98</v>
      </c>
      <c r="B101" s="21">
        <v>45916</v>
      </c>
      <c r="C101" s="7"/>
      <c r="D101" s="7" t="str">
        <f>IFERROR(VLOOKUP(SALIDASBODEGA[[#This Row],[CÓDIGO PRODUCTO]],INVENTARIOBODEGA[],2,FALSE),"-")</f>
        <v>-</v>
      </c>
      <c r="E101" s="7" t="str">
        <f>IFERROR(VLOOKUP(SALIDASBODEGA[[#This Row],[CÓDIGO PRODUCTO]],INVENTARIOBODEGA[],3,FALSE),"-")</f>
        <v>-</v>
      </c>
      <c r="F101" s="3"/>
    </row>
    <row r="102" spans="1:6" x14ac:dyDescent="0.2">
      <c r="A102" s="6">
        <v>99</v>
      </c>
      <c r="B102" s="21">
        <v>45916</v>
      </c>
      <c r="C102" s="7"/>
      <c r="D102" s="7" t="str">
        <f>IFERROR(VLOOKUP(SALIDASBODEGA[[#This Row],[CÓDIGO PRODUCTO]],INVENTARIOBODEGA[],2,FALSE),"-")</f>
        <v>-</v>
      </c>
      <c r="E102" s="7" t="str">
        <f>IFERROR(VLOOKUP(SALIDASBODEGA[[#This Row],[CÓDIGO PRODUCTO]],INVENTARIOBODEGA[],3,FALSE),"-")</f>
        <v>-</v>
      </c>
      <c r="F102" s="3"/>
    </row>
    <row r="103" spans="1:6" x14ac:dyDescent="0.2">
      <c r="A103" s="6">
        <v>100</v>
      </c>
      <c r="B103" s="21">
        <v>45916</v>
      </c>
      <c r="C103" s="7"/>
      <c r="D103" s="7" t="str">
        <f>IFERROR(VLOOKUP(SALIDASBODEGA[[#This Row],[CÓDIGO PRODUCTO]],INVENTARIOBODEGA[],2,FALSE),"-")</f>
        <v>-</v>
      </c>
      <c r="E103" s="7" t="str">
        <f>IFERROR(VLOOKUP(SALIDASBODEGA[[#This Row],[CÓDIGO PRODUCTO]],INVENTARIOBODEGA[],3,FALSE),"-")</f>
        <v>-</v>
      </c>
      <c r="F103" s="3"/>
    </row>
    <row r="104" spans="1:6" x14ac:dyDescent="0.2">
      <c r="A104" s="6">
        <v>101</v>
      </c>
      <c r="B104" s="21">
        <v>45916</v>
      </c>
      <c r="C104" s="7"/>
      <c r="D104" s="7" t="str">
        <f>IFERROR(VLOOKUP(SALIDASBODEGA[[#This Row],[CÓDIGO PRODUCTO]],INVENTARIOBODEGA[],2,FALSE),"-")</f>
        <v>-</v>
      </c>
      <c r="E104" s="7" t="str">
        <f>IFERROR(VLOOKUP(SALIDASBODEGA[[#This Row],[CÓDIGO PRODUCTO]],INVENTARIOBODEGA[],3,FALSE),"-")</f>
        <v>-</v>
      </c>
      <c r="F104" s="3"/>
    </row>
    <row r="105" spans="1:6" x14ac:dyDescent="0.2">
      <c r="A105" s="6">
        <v>102</v>
      </c>
      <c r="B105" s="21">
        <v>45916</v>
      </c>
      <c r="C105" s="7"/>
      <c r="D105" s="7" t="str">
        <f>IFERROR(VLOOKUP(SALIDASBODEGA[[#This Row],[CÓDIGO PRODUCTO]],INVENTARIOBODEGA[],2,FALSE),"-")</f>
        <v>-</v>
      </c>
      <c r="E105" s="7" t="str">
        <f>IFERROR(VLOOKUP(SALIDASBODEGA[[#This Row],[CÓDIGO PRODUCTO]],INVENTARIOBODEGA[],3,FALSE),"-")</f>
        <v>-</v>
      </c>
      <c r="F105" s="3"/>
    </row>
    <row r="106" spans="1:6" x14ac:dyDescent="0.2">
      <c r="A106" s="6">
        <v>103</v>
      </c>
      <c r="B106" s="21">
        <v>45916</v>
      </c>
      <c r="C106" s="7"/>
      <c r="D106" s="7" t="str">
        <f>IFERROR(VLOOKUP(SALIDASBODEGA[[#This Row],[CÓDIGO PRODUCTO]],INVENTARIOBODEGA[],2,FALSE),"-")</f>
        <v>-</v>
      </c>
      <c r="E106" s="7" t="str">
        <f>IFERROR(VLOOKUP(SALIDASBODEGA[[#This Row],[CÓDIGO PRODUCTO]],INVENTARIOBODEGA[],3,FALSE),"-")</f>
        <v>-</v>
      </c>
      <c r="F106" s="3"/>
    </row>
    <row r="107" spans="1:6" x14ac:dyDescent="0.2">
      <c r="A107" s="6">
        <v>104</v>
      </c>
      <c r="B107" s="21">
        <v>45916</v>
      </c>
      <c r="C107" s="7"/>
      <c r="D107" s="7" t="str">
        <f>IFERROR(VLOOKUP(SALIDASBODEGA[[#This Row],[CÓDIGO PRODUCTO]],INVENTARIOBODEGA[],2,FALSE),"-")</f>
        <v>-</v>
      </c>
      <c r="E107" s="7" t="str">
        <f>IFERROR(VLOOKUP(SALIDASBODEGA[[#This Row],[CÓDIGO PRODUCTO]],INVENTARIOBODEGA[],3,FALSE),"-")</f>
        <v>-</v>
      </c>
      <c r="F107" s="3"/>
    </row>
    <row r="108" spans="1:6" x14ac:dyDescent="0.2">
      <c r="A108" s="6">
        <v>105</v>
      </c>
      <c r="B108" s="21">
        <v>45916</v>
      </c>
      <c r="C108" s="7"/>
      <c r="D108" s="7" t="str">
        <f>IFERROR(VLOOKUP(SALIDASBODEGA[[#This Row],[CÓDIGO PRODUCTO]],INVENTARIOBODEGA[],2,FALSE),"-")</f>
        <v>-</v>
      </c>
      <c r="E108" s="7" t="str">
        <f>IFERROR(VLOOKUP(SALIDASBODEGA[[#This Row],[CÓDIGO PRODUCTO]],INVENTARIOBODEGA[],3,FALSE),"-")</f>
        <v>-</v>
      </c>
      <c r="F108" s="3"/>
    </row>
    <row r="109" spans="1:6" x14ac:dyDescent="0.2">
      <c r="A109" s="6">
        <v>106</v>
      </c>
      <c r="B109" s="21">
        <v>45916</v>
      </c>
      <c r="C109" s="7"/>
      <c r="D109" s="7" t="str">
        <f>IFERROR(VLOOKUP(SALIDASBODEGA[[#This Row],[CÓDIGO PRODUCTO]],INVENTARIOBODEGA[],2,FALSE),"-")</f>
        <v>-</v>
      </c>
      <c r="E109" s="7" t="str">
        <f>IFERROR(VLOOKUP(SALIDASBODEGA[[#This Row],[CÓDIGO PRODUCTO]],INVENTARIOBODEGA[],3,FALSE),"-")</f>
        <v>-</v>
      </c>
      <c r="F109" s="3"/>
    </row>
    <row r="110" spans="1:6" x14ac:dyDescent="0.2">
      <c r="A110" s="6">
        <v>107</v>
      </c>
      <c r="B110" s="21">
        <v>45916</v>
      </c>
      <c r="C110" s="7"/>
      <c r="D110" s="7" t="str">
        <f>IFERROR(VLOOKUP(SALIDASBODEGA[[#This Row],[CÓDIGO PRODUCTO]],INVENTARIOBODEGA[],2,FALSE),"-")</f>
        <v>-</v>
      </c>
      <c r="E110" s="7" t="str">
        <f>IFERROR(VLOOKUP(SALIDASBODEGA[[#This Row],[CÓDIGO PRODUCTO]],INVENTARIOBODEGA[],3,FALSE),"-")</f>
        <v>-</v>
      </c>
      <c r="F110" s="3"/>
    </row>
    <row r="111" spans="1:6" x14ac:dyDescent="0.2">
      <c r="A111" s="6">
        <v>108</v>
      </c>
      <c r="B111" s="21">
        <v>45916</v>
      </c>
      <c r="C111" s="7"/>
      <c r="D111" s="7" t="str">
        <f>IFERROR(VLOOKUP(SALIDASBODEGA[[#This Row],[CÓDIGO PRODUCTO]],INVENTARIOBODEGA[],2,FALSE),"-")</f>
        <v>-</v>
      </c>
      <c r="E111" s="7" t="str">
        <f>IFERROR(VLOOKUP(SALIDASBODEGA[[#This Row],[CÓDIGO PRODUCTO]],INVENTARIOBODEGA[],3,FALSE),"-")</f>
        <v>-</v>
      </c>
      <c r="F111" s="3"/>
    </row>
    <row r="112" spans="1:6" x14ac:dyDescent="0.2">
      <c r="A112" s="6">
        <v>109</v>
      </c>
      <c r="B112" s="21">
        <v>45916</v>
      </c>
      <c r="C112" s="7"/>
      <c r="D112" s="7" t="str">
        <f>IFERROR(VLOOKUP(SALIDASBODEGA[[#This Row],[CÓDIGO PRODUCTO]],INVENTARIOBODEGA[],2,FALSE),"-")</f>
        <v>-</v>
      </c>
      <c r="E112" s="7" t="str">
        <f>IFERROR(VLOOKUP(SALIDASBODEGA[[#This Row],[CÓDIGO PRODUCTO]],INVENTARIOBODEGA[],3,FALSE),"-")</f>
        <v>-</v>
      </c>
      <c r="F112" s="3"/>
    </row>
    <row r="113" spans="1:6" x14ac:dyDescent="0.2">
      <c r="A113" s="6">
        <v>110</v>
      </c>
      <c r="B113" s="21">
        <v>45916</v>
      </c>
      <c r="C113" s="7"/>
      <c r="D113" s="7" t="str">
        <f>IFERROR(VLOOKUP(SALIDASBODEGA[[#This Row],[CÓDIGO PRODUCTO]],INVENTARIOBODEGA[],2,FALSE),"-")</f>
        <v>-</v>
      </c>
      <c r="E113" s="7" t="str">
        <f>IFERROR(VLOOKUP(SALIDASBODEGA[[#This Row],[CÓDIGO PRODUCTO]],INVENTARIOBODEGA[],3,FALSE),"-")</f>
        <v>-</v>
      </c>
      <c r="F113" s="3"/>
    </row>
    <row r="114" spans="1:6" x14ac:dyDescent="0.2">
      <c r="A114" s="6">
        <v>111</v>
      </c>
      <c r="B114" s="21">
        <v>45916</v>
      </c>
      <c r="C114" s="7"/>
      <c r="D114" s="7" t="str">
        <f>IFERROR(VLOOKUP(SALIDASBODEGA[[#This Row],[CÓDIGO PRODUCTO]],INVENTARIOBODEGA[],2,FALSE),"-")</f>
        <v>-</v>
      </c>
      <c r="E114" s="7" t="str">
        <f>IFERROR(VLOOKUP(SALIDASBODEGA[[#This Row],[CÓDIGO PRODUCTO]],INVENTARIOBODEGA[],3,FALSE),"-")</f>
        <v>-</v>
      </c>
      <c r="F114" s="3"/>
    </row>
    <row r="115" spans="1:6" x14ac:dyDescent="0.2">
      <c r="A115" s="6">
        <v>112</v>
      </c>
      <c r="B115" s="21">
        <v>45916</v>
      </c>
      <c r="C115" s="7"/>
      <c r="D115" s="7" t="str">
        <f>IFERROR(VLOOKUP(SALIDASBODEGA[[#This Row],[CÓDIGO PRODUCTO]],INVENTARIOBODEGA[],2,FALSE),"-")</f>
        <v>-</v>
      </c>
      <c r="E115" s="7" t="str">
        <f>IFERROR(VLOOKUP(SALIDASBODEGA[[#This Row],[CÓDIGO PRODUCTO]],INVENTARIOBODEGA[],3,FALSE),"-")</f>
        <v>-</v>
      </c>
      <c r="F115" s="3"/>
    </row>
    <row r="116" spans="1:6" x14ac:dyDescent="0.2">
      <c r="A116" s="6">
        <v>113</v>
      </c>
      <c r="B116" s="21">
        <v>45916</v>
      </c>
      <c r="C116" s="7"/>
      <c r="D116" s="7" t="str">
        <f>IFERROR(VLOOKUP(SALIDASBODEGA[[#This Row],[CÓDIGO PRODUCTO]],INVENTARIOBODEGA[],2,FALSE),"-")</f>
        <v>-</v>
      </c>
      <c r="E116" s="7" t="str">
        <f>IFERROR(VLOOKUP(SALIDASBODEGA[[#This Row],[CÓDIGO PRODUCTO]],INVENTARIOBODEGA[],3,FALSE),"-")</f>
        <v>-</v>
      </c>
      <c r="F116" s="3"/>
    </row>
    <row r="117" spans="1:6" x14ac:dyDescent="0.2">
      <c r="A117" s="6">
        <v>114</v>
      </c>
      <c r="B117" s="21">
        <v>45916</v>
      </c>
      <c r="C117" s="7"/>
      <c r="D117" s="7" t="str">
        <f>IFERROR(VLOOKUP(SALIDASBODEGA[[#This Row],[CÓDIGO PRODUCTO]],INVENTARIOBODEGA[],2,FALSE),"-")</f>
        <v>-</v>
      </c>
      <c r="E117" s="7" t="str">
        <f>IFERROR(VLOOKUP(SALIDASBODEGA[[#This Row],[CÓDIGO PRODUCTO]],INVENTARIOBODEGA[],3,FALSE),"-")</f>
        <v>-</v>
      </c>
      <c r="F117" s="3"/>
    </row>
    <row r="118" spans="1:6" x14ac:dyDescent="0.2">
      <c r="A118" s="6">
        <v>115</v>
      </c>
      <c r="B118" s="21">
        <v>45916</v>
      </c>
      <c r="C118" s="7"/>
      <c r="D118" s="7" t="str">
        <f>IFERROR(VLOOKUP(SALIDASBODEGA[[#This Row],[CÓDIGO PRODUCTO]],INVENTARIOBODEGA[],2,FALSE),"-")</f>
        <v>-</v>
      </c>
      <c r="E118" s="7" t="str">
        <f>IFERROR(VLOOKUP(SALIDASBODEGA[[#This Row],[CÓDIGO PRODUCTO]],INVENTARIOBODEGA[],3,FALSE),"-")</f>
        <v>-</v>
      </c>
      <c r="F118" s="3"/>
    </row>
    <row r="119" spans="1:6" x14ac:dyDescent="0.2">
      <c r="A119" s="6">
        <v>116</v>
      </c>
      <c r="B119" s="21">
        <v>45916</v>
      </c>
      <c r="C119" s="7"/>
      <c r="D119" s="7" t="str">
        <f>IFERROR(VLOOKUP(SALIDASBODEGA[[#This Row],[CÓDIGO PRODUCTO]],INVENTARIOBODEGA[],2,FALSE),"-")</f>
        <v>-</v>
      </c>
      <c r="E119" s="7" t="str">
        <f>IFERROR(VLOOKUP(SALIDASBODEGA[[#This Row],[CÓDIGO PRODUCTO]],INVENTARIOBODEGA[],3,FALSE),"-")</f>
        <v>-</v>
      </c>
      <c r="F119" s="3"/>
    </row>
    <row r="120" spans="1:6" x14ac:dyDescent="0.2">
      <c r="A120" s="6">
        <v>117</v>
      </c>
      <c r="B120" s="21">
        <v>45916</v>
      </c>
      <c r="C120" s="7"/>
      <c r="D120" s="7" t="str">
        <f>IFERROR(VLOOKUP(SALIDASBODEGA[[#This Row],[CÓDIGO PRODUCTO]],INVENTARIOBODEGA[],2,FALSE),"-")</f>
        <v>-</v>
      </c>
      <c r="E120" s="7" t="str">
        <f>IFERROR(VLOOKUP(SALIDASBODEGA[[#This Row],[CÓDIGO PRODUCTO]],INVENTARIOBODEGA[],3,FALSE),"-")</f>
        <v>-</v>
      </c>
      <c r="F120" s="3"/>
    </row>
    <row r="121" spans="1:6" x14ac:dyDescent="0.2">
      <c r="A121" s="6">
        <v>118</v>
      </c>
      <c r="B121" s="21">
        <v>45916</v>
      </c>
      <c r="C121" s="7"/>
      <c r="D121" s="7" t="str">
        <f>IFERROR(VLOOKUP(SALIDASBODEGA[[#This Row],[CÓDIGO PRODUCTO]],INVENTARIOBODEGA[],2,FALSE),"-")</f>
        <v>-</v>
      </c>
      <c r="E121" s="7" t="str">
        <f>IFERROR(VLOOKUP(SALIDASBODEGA[[#This Row],[CÓDIGO PRODUCTO]],INVENTARIOBODEGA[],3,FALSE),"-")</f>
        <v>-</v>
      </c>
      <c r="F121" s="3"/>
    </row>
    <row r="122" spans="1:6" x14ac:dyDescent="0.2">
      <c r="A122" s="6">
        <v>119</v>
      </c>
      <c r="B122" s="21">
        <v>45916</v>
      </c>
      <c r="C122" s="7"/>
      <c r="D122" s="7" t="str">
        <f>IFERROR(VLOOKUP(SALIDASBODEGA[[#This Row],[CÓDIGO PRODUCTO]],INVENTARIOBODEGA[],2,FALSE),"-")</f>
        <v>-</v>
      </c>
      <c r="E122" s="7" t="str">
        <f>IFERROR(VLOOKUP(SALIDASBODEGA[[#This Row],[CÓDIGO PRODUCTO]],INVENTARIOBODEGA[],3,FALSE),"-")</f>
        <v>-</v>
      </c>
      <c r="F122" s="3"/>
    </row>
    <row r="123" spans="1:6" x14ac:dyDescent="0.2">
      <c r="A123" s="6">
        <v>120</v>
      </c>
      <c r="B123" s="21">
        <v>45916</v>
      </c>
      <c r="C123" s="7"/>
      <c r="D123" s="7" t="str">
        <f>IFERROR(VLOOKUP(SALIDASBODEGA[[#This Row],[CÓDIGO PRODUCTO]],INVENTARIOBODEGA[],2,FALSE),"-")</f>
        <v>-</v>
      </c>
      <c r="E123" s="7" t="str">
        <f>IFERROR(VLOOKUP(SALIDASBODEGA[[#This Row],[CÓDIGO PRODUCTO]],INVENTARIOBODEGA[],3,FALSE),"-")</f>
        <v>-</v>
      </c>
      <c r="F123" s="3"/>
    </row>
    <row r="124" spans="1:6" x14ac:dyDescent="0.2">
      <c r="A124" s="6">
        <v>121</v>
      </c>
      <c r="B124" s="21">
        <v>45916</v>
      </c>
      <c r="C124" s="7"/>
      <c r="D124" s="7" t="str">
        <f>IFERROR(VLOOKUP(SALIDASBODEGA[[#This Row],[CÓDIGO PRODUCTO]],INVENTARIOBODEGA[],2,FALSE),"-")</f>
        <v>-</v>
      </c>
      <c r="E124" s="7" t="str">
        <f>IFERROR(VLOOKUP(SALIDASBODEGA[[#This Row],[CÓDIGO PRODUCTO]],INVENTARIOBODEGA[],3,FALSE),"-")</f>
        <v>-</v>
      </c>
      <c r="F124" s="3"/>
    </row>
    <row r="125" spans="1:6" x14ac:dyDescent="0.2">
      <c r="A125" s="6">
        <v>122</v>
      </c>
      <c r="B125" s="21">
        <v>45916</v>
      </c>
      <c r="C125" s="7"/>
      <c r="D125" s="7" t="str">
        <f>IFERROR(VLOOKUP(SALIDASBODEGA[[#This Row],[CÓDIGO PRODUCTO]],INVENTARIOBODEGA[],2,FALSE),"-")</f>
        <v>-</v>
      </c>
      <c r="E125" s="7" t="str">
        <f>IFERROR(VLOOKUP(SALIDASBODEGA[[#This Row],[CÓDIGO PRODUCTO]],INVENTARIOBODEGA[],3,FALSE),"-")</f>
        <v>-</v>
      </c>
      <c r="F125" s="3"/>
    </row>
    <row r="126" spans="1:6" x14ac:dyDescent="0.2">
      <c r="A126" s="6">
        <v>123</v>
      </c>
      <c r="B126" s="21">
        <v>45916</v>
      </c>
      <c r="C126" s="7"/>
      <c r="D126" s="7" t="str">
        <f>IFERROR(VLOOKUP(SALIDASBODEGA[[#This Row],[CÓDIGO PRODUCTO]],INVENTARIOBODEGA[],2,FALSE),"-")</f>
        <v>-</v>
      </c>
      <c r="E126" s="7" t="str">
        <f>IFERROR(VLOOKUP(SALIDASBODEGA[[#This Row],[CÓDIGO PRODUCTO]],INVENTARIOBODEGA[],3,FALSE),"-")</f>
        <v>-</v>
      </c>
      <c r="F126" s="3"/>
    </row>
    <row r="127" spans="1:6" x14ac:dyDescent="0.2">
      <c r="A127" s="6">
        <v>124</v>
      </c>
      <c r="B127" s="21">
        <v>45916</v>
      </c>
      <c r="C127" s="7"/>
      <c r="D127" s="7" t="str">
        <f>IFERROR(VLOOKUP(SALIDASBODEGA[[#This Row],[CÓDIGO PRODUCTO]],INVENTARIOBODEGA[],2,FALSE),"-")</f>
        <v>-</v>
      </c>
      <c r="E127" s="7" t="str">
        <f>IFERROR(VLOOKUP(SALIDASBODEGA[[#This Row],[CÓDIGO PRODUCTO]],INVENTARIOBODEGA[],3,FALSE),"-")</f>
        <v>-</v>
      </c>
      <c r="F127" s="3"/>
    </row>
    <row r="128" spans="1:6" x14ac:dyDescent="0.2">
      <c r="A128" s="6">
        <v>125</v>
      </c>
      <c r="B128" s="21">
        <v>45916</v>
      </c>
      <c r="C128" s="7"/>
      <c r="D128" s="7" t="str">
        <f>IFERROR(VLOOKUP(SALIDASBODEGA[[#This Row],[CÓDIGO PRODUCTO]],INVENTARIOBODEGA[],2,FALSE),"-")</f>
        <v>-</v>
      </c>
      <c r="E128" s="7" t="str">
        <f>IFERROR(VLOOKUP(SALIDASBODEGA[[#This Row],[CÓDIGO PRODUCTO]],INVENTARIOBODEGA[],3,FALSE),"-")</f>
        <v>-</v>
      </c>
      <c r="F128" s="3"/>
    </row>
    <row r="129" spans="1:6" x14ac:dyDescent="0.2">
      <c r="A129" s="6">
        <v>126</v>
      </c>
      <c r="B129" s="21">
        <v>45916</v>
      </c>
      <c r="C129" s="7"/>
      <c r="D129" s="7" t="str">
        <f>IFERROR(VLOOKUP(SALIDASBODEGA[[#This Row],[CÓDIGO PRODUCTO]],INVENTARIOBODEGA[],2,FALSE),"-")</f>
        <v>-</v>
      </c>
      <c r="E129" s="7" t="str">
        <f>IFERROR(VLOOKUP(SALIDASBODEGA[[#This Row],[CÓDIGO PRODUCTO]],INVENTARIOBODEGA[],3,FALSE),"-")</f>
        <v>-</v>
      </c>
      <c r="F129" s="3"/>
    </row>
    <row r="130" spans="1:6" x14ac:dyDescent="0.2">
      <c r="A130" s="6">
        <v>127</v>
      </c>
      <c r="B130" s="21">
        <v>45916</v>
      </c>
      <c r="C130" s="7"/>
      <c r="D130" s="7" t="str">
        <f>IFERROR(VLOOKUP(SALIDASBODEGA[[#This Row],[CÓDIGO PRODUCTO]],INVENTARIOBODEGA[],2,FALSE),"-")</f>
        <v>-</v>
      </c>
      <c r="E130" s="7" t="str">
        <f>IFERROR(VLOOKUP(SALIDASBODEGA[[#This Row],[CÓDIGO PRODUCTO]],INVENTARIOBODEGA[],3,FALSE),"-")</f>
        <v>-</v>
      </c>
      <c r="F130" s="3"/>
    </row>
    <row r="131" spans="1:6" x14ac:dyDescent="0.2">
      <c r="A131" s="6">
        <v>128</v>
      </c>
      <c r="B131" s="21">
        <v>45916</v>
      </c>
      <c r="C131" s="7"/>
      <c r="D131" s="7" t="str">
        <f>IFERROR(VLOOKUP(SALIDASBODEGA[[#This Row],[CÓDIGO PRODUCTO]],INVENTARIOBODEGA[],2,FALSE),"-")</f>
        <v>-</v>
      </c>
      <c r="E131" s="7" t="str">
        <f>IFERROR(VLOOKUP(SALIDASBODEGA[[#This Row],[CÓDIGO PRODUCTO]],INVENTARIOBODEGA[],3,FALSE),"-")</f>
        <v>-</v>
      </c>
      <c r="F131" s="3"/>
    </row>
    <row r="132" spans="1:6" x14ac:dyDescent="0.2">
      <c r="A132" s="6">
        <v>129</v>
      </c>
      <c r="B132" s="21">
        <v>45916</v>
      </c>
      <c r="C132" s="7"/>
      <c r="D132" s="7" t="str">
        <f>IFERROR(VLOOKUP(SALIDASBODEGA[[#This Row],[CÓDIGO PRODUCTO]],INVENTARIOBODEGA[],2,FALSE),"-")</f>
        <v>-</v>
      </c>
      <c r="E132" s="7" t="str">
        <f>IFERROR(VLOOKUP(SALIDASBODEGA[[#This Row],[CÓDIGO PRODUCTO]],INVENTARIOBODEGA[],3,FALSE),"-")</f>
        <v>-</v>
      </c>
      <c r="F132" s="3"/>
    </row>
    <row r="133" spans="1:6" x14ac:dyDescent="0.2">
      <c r="A133" s="6">
        <v>130</v>
      </c>
      <c r="B133" s="21">
        <v>45916</v>
      </c>
      <c r="C133" s="7"/>
      <c r="D133" s="7" t="str">
        <f>IFERROR(VLOOKUP(SALIDASBODEGA[[#This Row],[CÓDIGO PRODUCTO]],INVENTARIOBODEGA[],2,FALSE),"-")</f>
        <v>-</v>
      </c>
      <c r="E133" s="7" t="str">
        <f>IFERROR(VLOOKUP(SALIDASBODEGA[[#This Row],[CÓDIGO PRODUCTO]],INVENTARIOBODEGA[],3,FALSE),"-")</f>
        <v>-</v>
      </c>
      <c r="F133" s="3"/>
    </row>
    <row r="134" spans="1:6" x14ac:dyDescent="0.2">
      <c r="A134" s="6">
        <v>131</v>
      </c>
      <c r="B134" s="21">
        <v>45916</v>
      </c>
      <c r="C134" s="7"/>
      <c r="D134" s="7" t="str">
        <f>IFERROR(VLOOKUP(SALIDASBODEGA[[#This Row],[CÓDIGO PRODUCTO]],INVENTARIOBODEGA[],2,FALSE),"-")</f>
        <v>-</v>
      </c>
      <c r="E134" s="7" t="str">
        <f>IFERROR(VLOOKUP(SALIDASBODEGA[[#This Row],[CÓDIGO PRODUCTO]],INVENTARIOBODEGA[],3,FALSE),"-")</f>
        <v>-</v>
      </c>
      <c r="F134" s="3"/>
    </row>
    <row r="135" spans="1:6" x14ac:dyDescent="0.2">
      <c r="A135" s="6">
        <v>132</v>
      </c>
      <c r="B135" s="21">
        <v>45916</v>
      </c>
      <c r="C135" s="7"/>
      <c r="D135" s="7" t="str">
        <f>IFERROR(VLOOKUP(SALIDASBODEGA[[#This Row],[CÓDIGO PRODUCTO]],INVENTARIOBODEGA[],2,FALSE),"-")</f>
        <v>-</v>
      </c>
      <c r="E135" s="7" t="str">
        <f>IFERROR(VLOOKUP(SALIDASBODEGA[[#This Row],[CÓDIGO PRODUCTO]],INVENTARIOBODEGA[],3,FALSE),"-")</f>
        <v>-</v>
      </c>
      <c r="F135" s="3"/>
    </row>
    <row r="136" spans="1:6" x14ac:dyDescent="0.2">
      <c r="A136" s="6">
        <v>133</v>
      </c>
      <c r="B136" s="21">
        <v>45916</v>
      </c>
      <c r="C136" s="7"/>
      <c r="D136" s="7" t="str">
        <f>IFERROR(VLOOKUP(SALIDASBODEGA[[#This Row],[CÓDIGO PRODUCTO]],INVENTARIOBODEGA[],2,FALSE),"-")</f>
        <v>-</v>
      </c>
      <c r="E136" s="7" t="str">
        <f>IFERROR(VLOOKUP(SALIDASBODEGA[[#This Row],[CÓDIGO PRODUCTO]],INVENTARIOBODEGA[],3,FALSE),"-")</f>
        <v>-</v>
      </c>
      <c r="F136" s="3"/>
    </row>
    <row r="137" spans="1:6" x14ac:dyDescent="0.2">
      <c r="A137" s="6">
        <v>134</v>
      </c>
      <c r="B137" s="21">
        <v>45916</v>
      </c>
      <c r="C137" s="7"/>
      <c r="D137" s="7" t="str">
        <f>IFERROR(VLOOKUP(SALIDASBODEGA[[#This Row],[CÓDIGO PRODUCTO]],INVENTARIOBODEGA[],2,FALSE),"-")</f>
        <v>-</v>
      </c>
      <c r="E137" s="7" t="str">
        <f>IFERROR(VLOOKUP(SALIDASBODEGA[[#This Row],[CÓDIGO PRODUCTO]],INVENTARIOBODEGA[],3,FALSE),"-")</f>
        <v>-</v>
      </c>
      <c r="F137" s="3"/>
    </row>
    <row r="138" spans="1:6" x14ac:dyDescent="0.2">
      <c r="A138" s="6">
        <v>135</v>
      </c>
      <c r="B138" s="21">
        <v>45916</v>
      </c>
      <c r="C138" s="7"/>
      <c r="D138" s="7" t="str">
        <f>IFERROR(VLOOKUP(SALIDASBODEGA[[#This Row],[CÓDIGO PRODUCTO]],INVENTARIOBODEGA[],2,FALSE),"-")</f>
        <v>-</v>
      </c>
      <c r="E138" s="7" t="str">
        <f>IFERROR(VLOOKUP(SALIDASBODEGA[[#This Row],[CÓDIGO PRODUCTO]],INVENTARIOBODEGA[],3,FALSE),"-")</f>
        <v>-</v>
      </c>
      <c r="F138" s="3"/>
    </row>
    <row r="139" spans="1:6" x14ac:dyDescent="0.2">
      <c r="A139" s="6">
        <v>136</v>
      </c>
      <c r="B139" s="21">
        <v>45916</v>
      </c>
      <c r="C139" s="7"/>
      <c r="D139" s="7" t="str">
        <f>IFERROR(VLOOKUP(SALIDASBODEGA[[#This Row],[CÓDIGO PRODUCTO]],INVENTARIOBODEGA[],2,FALSE),"-")</f>
        <v>-</v>
      </c>
      <c r="E139" s="7" t="str">
        <f>IFERROR(VLOOKUP(SALIDASBODEGA[[#This Row],[CÓDIGO PRODUCTO]],INVENTARIOBODEGA[],3,FALSE),"-")</f>
        <v>-</v>
      </c>
      <c r="F139" s="3"/>
    </row>
    <row r="140" spans="1:6" x14ac:dyDescent="0.2">
      <c r="A140" s="6">
        <v>137</v>
      </c>
      <c r="B140" s="21">
        <v>45916</v>
      </c>
      <c r="C140" s="7"/>
      <c r="D140" s="7" t="str">
        <f>IFERROR(VLOOKUP(SALIDASBODEGA[[#This Row],[CÓDIGO PRODUCTO]],INVENTARIOBODEGA[],2,FALSE),"-")</f>
        <v>-</v>
      </c>
      <c r="E140" s="7" t="str">
        <f>IFERROR(VLOOKUP(SALIDASBODEGA[[#This Row],[CÓDIGO PRODUCTO]],INVENTARIOBODEGA[],3,FALSE),"-")</f>
        <v>-</v>
      </c>
      <c r="F140" s="3"/>
    </row>
    <row r="141" spans="1:6" x14ac:dyDescent="0.2">
      <c r="A141" s="6">
        <v>138</v>
      </c>
      <c r="B141" s="21">
        <v>45916</v>
      </c>
      <c r="C141" s="7"/>
      <c r="D141" s="7" t="str">
        <f>IFERROR(VLOOKUP(SALIDASBODEGA[[#This Row],[CÓDIGO PRODUCTO]],INVENTARIOBODEGA[],2,FALSE),"-")</f>
        <v>-</v>
      </c>
      <c r="E141" s="7" t="str">
        <f>IFERROR(VLOOKUP(SALIDASBODEGA[[#This Row],[CÓDIGO PRODUCTO]],INVENTARIOBODEGA[],3,FALSE),"-")</f>
        <v>-</v>
      </c>
      <c r="F141" s="3"/>
    </row>
    <row r="142" spans="1:6" x14ac:dyDescent="0.2">
      <c r="A142" s="6">
        <v>139</v>
      </c>
      <c r="B142" s="21">
        <v>45916</v>
      </c>
      <c r="C142" s="7"/>
      <c r="D142" s="7" t="str">
        <f>IFERROR(VLOOKUP(SALIDASBODEGA[[#This Row],[CÓDIGO PRODUCTO]],INVENTARIOBODEGA[],2,FALSE),"-")</f>
        <v>-</v>
      </c>
      <c r="E142" s="7" t="str">
        <f>IFERROR(VLOOKUP(SALIDASBODEGA[[#This Row],[CÓDIGO PRODUCTO]],INVENTARIOBODEGA[],3,FALSE),"-")</f>
        <v>-</v>
      </c>
      <c r="F142" s="3"/>
    </row>
    <row r="143" spans="1:6" x14ac:dyDescent="0.2">
      <c r="A143" s="6">
        <v>140</v>
      </c>
      <c r="B143" s="21">
        <v>45916</v>
      </c>
      <c r="C143" s="7"/>
      <c r="D143" s="7" t="str">
        <f>IFERROR(VLOOKUP(SALIDASBODEGA[[#This Row],[CÓDIGO PRODUCTO]],INVENTARIOBODEGA[],2,FALSE),"-")</f>
        <v>-</v>
      </c>
      <c r="E143" s="7" t="str">
        <f>IFERROR(VLOOKUP(SALIDASBODEGA[[#This Row],[CÓDIGO PRODUCTO]],INVENTARIOBODEGA[],3,FALSE),"-")</f>
        <v>-</v>
      </c>
      <c r="F143" s="3"/>
    </row>
    <row r="144" spans="1:6" x14ac:dyDescent="0.2">
      <c r="A144" s="6">
        <v>141</v>
      </c>
      <c r="B144" s="21">
        <v>45916</v>
      </c>
      <c r="C144" s="7"/>
      <c r="D144" s="7" t="str">
        <f>IFERROR(VLOOKUP(SALIDASBODEGA[[#This Row],[CÓDIGO PRODUCTO]],INVENTARIOBODEGA[],2,FALSE),"-")</f>
        <v>-</v>
      </c>
      <c r="E144" s="7" t="str">
        <f>IFERROR(VLOOKUP(SALIDASBODEGA[[#This Row],[CÓDIGO PRODUCTO]],INVENTARIOBODEGA[],3,FALSE),"-")</f>
        <v>-</v>
      </c>
      <c r="F144" s="3"/>
    </row>
    <row r="145" spans="1:6" x14ac:dyDescent="0.2">
      <c r="A145" s="6">
        <v>142</v>
      </c>
      <c r="B145" s="21">
        <v>45916</v>
      </c>
      <c r="C145" s="7"/>
      <c r="D145" s="7" t="str">
        <f>IFERROR(VLOOKUP(SALIDASBODEGA[[#This Row],[CÓDIGO PRODUCTO]],INVENTARIOBODEGA[],2,FALSE),"-")</f>
        <v>-</v>
      </c>
      <c r="E145" s="7" t="str">
        <f>IFERROR(VLOOKUP(SALIDASBODEGA[[#This Row],[CÓDIGO PRODUCTO]],INVENTARIOBODEGA[],3,FALSE),"-")</f>
        <v>-</v>
      </c>
      <c r="F145" s="3"/>
    </row>
    <row r="146" spans="1:6" x14ac:dyDescent="0.2">
      <c r="A146" s="6">
        <v>143</v>
      </c>
      <c r="B146" s="21">
        <v>45916</v>
      </c>
      <c r="C146" s="7"/>
      <c r="D146" s="7" t="str">
        <f>IFERROR(VLOOKUP(SALIDASBODEGA[[#This Row],[CÓDIGO PRODUCTO]],INVENTARIOBODEGA[],2,FALSE),"-")</f>
        <v>-</v>
      </c>
      <c r="E146" s="7" t="str">
        <f>IFERROR(VLOOKUP(SALIDASBODEGA[[#This Row],[CÓDIGO PRODUCTO]],INVENTARIOBODEGA[],3,FALSE),"-")</f>
        <v>-</v>
      </c>
      <c r="F146" s="3"/>
    </row>
    <row r="147" spans="1:6" x14ac:dyDescent="0.2">
      <c r="A147" s="6">
        <v>144</v>
      </c>
      <c r="B147" s="21">
        <v>45916</v>
      </c>
      <c r="C147" s="7"/>
      <c r="D147" s="7" t="str">
        <f>IFERROR(VLOOKUP(SALIDASBODEGA[[#This Row],[CÓDIGO PRODUCTO]],INVENTARIOBODEGA[],2,FALSE),"-")</f>
        <v>-</v>
      </c>
      <c r="E147" s="7" t="str">
        <f>IFERROR(VLOOKUP(SALIDASBODEGA[[#This Row],[CÓDIGO PRODUCTO]],INVENTARIOBODEGA[],3,FALSE),"-")</f>
        <v>-</v>
      </c>
      <c r="F147" s="3"/>
    </row>
    <row r="148" spans="1:6" x14ac:dyDescent="0.2">
      <c r="A148" s="6">
        <v>145</v>
      </c>
      <c r="B148" s="21">
        <v>45916</v>
      </c>
      <c r="C148" s="7"/>
      <c r="D148" s="7" t="str">
        <f>IFERROR(VLOOKUP(SALIDASBODEGA[[#This Row],[CÓDIGO PRODUCTO]],INVENTARIOBODEGA[],2,FALSE),"-")</f>
        <v>-</v>
      </c>
      <c r="E148" s="7" t="str">
        <f>IFERROR(VLOOKUP(SALIDASBODEGA[[#This Row],[CÓDIGO PRODUCTO]],INVENTARIOBODEGA[],3,FALSE),"-")</f>
        <v>-</v>
      </c>
      <c r="F148" s="3"/>
    </row>
    <row r="149" spans="1:6" x14ac:dyDescent="0.2">
      <c r="A149" s="6">
        <v>146</v>
      </c>
      <c r="B149" s="21">
        <v>45916</v>
      </c>
      <c r="C149" s="7"/>
      <c r="D149" s="7" t="str">
        <f>IFERROR(VLOOKUP(SALIDASBODEGA[[#This Row],[CÓDIGO PRODUCTO]],INVENTARIOBODEGA[],2,FALSE),"-")</f>
        <v>-</v>
      </c>
      <c r="E149" s="7" t="str">
        <f>IFERROR(VLOOKUP(SALIDASBODEGA[[#This Row],[CÓDIGO PRODUCTO]],INVENTARIOBODEGA[],3,FALSE),"-")</f>
        <v>-</v>
      </c>
      <c r="F149" s="3"/>
    </row>
    <row r="150" spans="1:6" x14ac:dyDescent="0.2">
      <c r="A150" s="6">
        <v>147</v>
      </c>
      <c r="B150" s="21">
        <v>45916</v>
      </c>
      <c r="C150" s="7"/>
      <c r="D150" s="7" t="str">
        <f>IFERROR(VLOOKUP(SALIDASBODEGA[[#This Row],[CÓDIGO PRODUCTO]],INVENTARIOBODEGA[],2,FALSE),"-")</f>
        <v>-</v>
      </c>
      <c r="E150" s="7" t="str">
        <f>IFERROR(VLOOKUP(SALIDASBODEGA[[#This Row],[CÓDIGO PRODUCTO]],INVENTARIOBODEGA[],3,FALSE),"-")</f>
        <v>-</v>
      </c>
      <c r="F150" s="3"/>
    </row>
    <row r="151" spans="1:6" x14ac:dyDescent="0.2">
      <c r="A151" s="6">
        <v>148</v>
      </c>
      <c r="B151" s="21">
        <v>45916</v>
      </c>
      <c r="C151" s="7"/>
      <c r="D151" s="7" t="str">
        <f>IFERROR(VLOOKUP(SALIDASBODEGA[[#This Row],[CÓDIGO PRODUCTO]],INVENTARIOBODEGA[],2,FALSE),"-")</f>
        <v>-</v>
      </c>
      <c r="E151" s="7" t="str">
        <f>IFERROR(VLOOKUP(SALIDASBODEGA[[#This Row],[CÓDIGO PRODUCTO]],INVENTARIOBODEGA[],3,FALSE),"-")</f>
        <v>-</v>
      </c>
      <c r="F151" s="3"/>
    </row>
    <row r="152" spans="1:6" x14ac:dyDescent="0.2">
      <c r="A152" s="6">
        <v>149</v>
      </c>
      <c r="B152" s="21">
        <v>45916</v>
      </c>
      <c r="C152" s="7"/>
      <c r="D152" s="7" t="str">
        <f>IFERROR(VLOOKUP(SALIDASBODEGA[[#This Row],[CÓDIGO PRODUCTO]],INVENTARIOBODEGA[],2,FALSE),"-")</f>
        <v>-</v>
      </c>
      <c r="E152" s="7" t="str">
        <f>IFERROR(VLOOKUP(SALIDASBODEGA[[#This Row],[CÓDIGO PRODUCTO]],INVENTARIOBODEGA[],3,FALSE),"-")</f>
        <v>-</v>
      </c>
      <c r="F152" s="3"/>
    </row>
    <row r="153" spans="1:6" x14ac:dyDescent="0.2">
      <c r="A153" s="6">
        <v>150</v>
      </c>
      <c r="B153" s="21">
        <v>45916</v>
      </c>
      <c r="C153" s="7"/>
      <c r="D153" s="7" t="str">
        <f>IFERROR(VLOOKUP(SALIDASBODEGA[[#This Row],[CÓDIGO PRODUCTO]],INVENTARIOBODEGA[],2,FALSE),"-")</f>
        <v>-</v>
      </c>
      <c r="E153" s="7" t="str">
        <f>IFERROR(VLOOKUP(SALIDASBODEGA[[#This Row],[CÓDIGO PRODUCTO]],INVENTARIOBODEGA[],3,FALSE),"-")</f>
        <v>-</v>
      </c>
      <c r="F153" s="3"/>
    </row>
    <row r="154" spans="1:6" x14ac:dyDescent="0.2">
      <c r="A154" s="6">
        <v>151</v>
      </c>
      <c r="B154" s="21">
        <v>45916</v>
      </c>
      <c r="C154" s="7"/>
      <c r="D154" s="7" t="str">
        <f>IFERROR(VLOOKUP(SALIDASBODEGA[[#This Row],[CÓDIGO PRODUCTO]],INVENTARIOBODEGA[],2,FALSE),"-")</f>
        <v>-</v>
      </c>
      <c r="E154" s="7" t="str">
        <f>IFERROR(VLOOKUP(SALIDASBODEGA[[#This Row],[CÓDIGO PRODUCTO]],INVENTARIOBODEGA[],3,FALSE),"-")</f>
        <v>-</v>
      </c>
      <c r="F154" s="3"/>
    </row>
    <row r="155" spans="1:6" x14ac:dyDescent="0.2">
      <c r="A155" s="6">
        <v>152</v>
      </c>
      <c r="B155" s="21">
        <v>45916</v>
      </c>
      <c r="C155" s="7"/>
      <c r="D155" s="7" t="str">
        <f>IFERROR(VLOOKUP(SALIDASBODEGA[[#This Row],[CÓDIGO PRODUCTO]],INVENTARIOBODEGA[],2,FALSE),"-")</f>
        <v>-</v>
      </c>
      <c r="E155" s="7" t="str">
        <f>IFERROR(VLOOKUP(SALIDASBODEGA[[#This Row],[CÓDIGO PRODUCTO]],INVENTARIOBODEGA[],3,FALSE),"-")</f>
        <v>-</v>
      </c>
      <c r="F155" s="3"/>
    </row>
    <row r="156" spans="1:6" x14ac:dyDescent="0.2">
      <c r="A156" s="6">
        <v>153</v>
      </c>
      <c r="B156" s="21">
        <v>45916</v>
      </c>
      <c r="C156" s="7"/>
      <c r="D156" s="7" t="str">
        <f>IFERROR(VLOOKUP(SALIDASBODEGA[[#This Row],[CÓDIGO PRODUCTO]],INVENTARIOBODEGA[],2,FALSE),"-")</f>
        <v>-</v>
      </c>
      <c r="E156" s="7" t="str">
        <f>IFERROR(VLOOKUP(SALIDASBODEGA[[#This Row],[CÓDIGO PRODUCTO]],INVENTARIOBODEGA[],3,FALSE),"-")</f>
        <v>-</v>
      </c>
      <c r="F156" s="3"/>
    </row>
    <row r="157" spans="1:6" x14ac:dyDescent="0.2">
      <c r="A157" s="6">
        <v>154</v>
      </c>
      <c r="B157" s="21">
        <v>45916</v>
      </c>
      <c r="C157" s="7"/>
      <c r="D157" s="7" t="str">
        <f>IFERROR(VLOOKUP(SALIDASBODEGA[[#This Row],[CÓDIGO PRODUCTO]],INVENTARIOBODEGA[],2,FALSE),"-")</f>
        <v>-</v>
      </c>
      <c r="E157" s="7" t="str">
        <f>IFERROR(VLOOKUP(SALIDASBODEGA[[#This Row],[CÓDIGO PRODUCTO]],INVENTARIOBODEGA[],3,FALSE),"-")</f>
        <v>-</v>
      </c>
      <c r="F157" s="3"/>
    </row>
    <row r="158" spans="1:6" x14ac:dyDescent="0.2">
      <c r="A158" s="6">
        <v>155</v>
      </c>
      <c r="B158" s="21">
        <v>45916</v>
      </c>
      <c r="C158" s="7"/>
      <c r="D158" s="7" t="str">
        <f>IFERROR(VLOOKUP(SALIDASBODEGA[[#This Row],[CÓDIGO PRODUCTO]],INVENTARIOBODEGA[],2,FALSE),"-")</f>
        <v>-</v>
      </c>
      <c r="E158" s="7" t="str">
        <f>IFERROR(VLOOKUP(SALIDASBODEGA[[#This Row],[CÓDIGO PRODUCTO]],INVENTARIOBODEGA[],3,FALSE),"-")</f>
        <v>-</v>
      </c>
      <c r="F158" s="3"/>
    </row>
    <row r="159" spans="1:6" x14ac:dyDescent="0.2">
      <c r="A159" s="6">
        <v>156</v>
      </c>
      <c r="B159" s="21">
        <v>45916</v>
      </c>
      <c r="C159" s="7"/>
      <c r="D159" s="7" t="str">
        <f>IFERROR(VLOOKUP(SALIDASBODEGA[[#This Row],[CÓDIGO PRODUCTO]],INVENTARIOBODEGA[],2,FALSE),"-")</f>
        <v>-</v>
      </c>
      <c r="E159" s="7" t="str">
        <f>IFERROR(VLOOKUP(SALIDASBODEGA[[#This Row],[CÓDIGO PRODUCTO]],INVENTARIOBODEGA[],3,FALSE),"-")</f>
        <v>-</v>
      </c>
      <c r="F159" s="3"/>
    </row>
    <row r="160" spans="1:6" x14ac:dyDescent="0.2">
      <c r="A160" s="6">
        <v>157</v>
      </c>
      <c r="B160" s="21">
        <v>45916</v>
      </c>
      <c r="C160" s="7"/>
      <c r="D160" s="7" t="str">
        <f>IFERROR(VLOOKUP(SALIDASBODEGA[[#This Row],[CÓDIGO PRODUCTO]],INVENTARIOBODEGA[],2,FALSE),"-")</f>
        <v>-</v>
      </c>
      <c r="E160" s="7" t="str">
        <f>IFERROR(VLOOKUP(SALIDASBODEGA[[#This Row],[CÓDIGO PRODUCTO]],INVENTARIOBODEGA[],3,FALSE),"-")</f>
        <v>-</v>
      </c>
      <c r="F160" s="3"/>
    </row>
    <row r="161" spans="1:6" x14ac:dyDescent="0.2">
      <c r="A161" s="6">
        <v>158</v>
      </c>
      <c r="B161" s="21">
        <v>45916</v>
      </c>
      <c r="C161" s="7"/>
      <c r="D161" s="7" t="str">
        <f>IFERROR(VLOOKUP(SALIDASBODEGA[[#This Row],[CÓDIGO PRODUCTO]],INVENTARIOBODEGA[],2,FALSE),"-")</f>
        <v>-</v>
      </c>
      <c r="E161" s="7" t="str">
        <f>IFERROR(VLOOKUP(SALIDASBODEGA[[#This Row],[CÓDIGO PRODUCTO]],INVENTARIOBODEGA[],3,FALSE),"-")</f>
        <v>-</v>
      </c>
      <c r="F161" s="3"/>
    </row>
    <row r="162" spans="1:6" x14ac:dyDescent="0.2">
      <c r="A162" s="6">
        <v>159</v>
      </c>
      <c r="B162" s="21">
        <v>45916</v>
      </c>
      <c r="C162" s="7"/>
      <c r="D162" s="7" t="str">
        <f>IFERROR(VLOOKUP(SALIDASBODEGA[[#This Row],[CÓDIGO PRODUCTO]],INVENTARIOBODEGA[],2,FALSE),"-")</f>
        <v>-</v>
      </c>
      <c r="E162" s="7" t="str">
        <f>IFERROR(VLOOKUP(SALIDASBODEGA[[#This Row],[CÓDIGO PRODUCTO]],INVENTARIOBODEGA[],3,FALSE),"-")</f>
        <v>-</v>
      </c>
      <c r="F162" s="3"/>
    </row>
    <row r="163" spans="1:6" x14ac:dyDescent="0.2">
      <c r="A163" s="6">
        <v>160</v>
      </c>
      <c r="B163" s="21">
        <v>45916</v>
      </c>
      <c r="C163" s="7"/>
      <c r="D163" s="7" t="str">
        <f>IFERROR(VLOOKUP(SALIDASBODEGA[[#This Row],[CÓDIGO PRODUCTO]],INVENTARIOBODEGA[],2,FALSE),"-")</f>
        <v>-</v>
      </c>
      <c r="E163" s="7" t="str">
        <f>IFERROR(VLOOKUP(SALIDASBODEGA[[#This Row],[CÓDIGO PRODUCTO]],INVENTARIOBODEGA[],3,FALSE),"-")</f>
        <v>-</v>
      </c>
      <c r="F163" s="3"/>
    </row>
    <row r="164" spans="1:6" x14ac:dyDescent="0.2">
      <c r="A164" s="6">
        <v>161</v>
      </c>
      <c r="B164" s="21">
        <v>45916</v>
      </c>
      <c r="C164" s="7"/>
      <c r="D164" s="7" t="str">
        <f>IFERROR(VLOOKUP(SALIDASBODEGA[[#This Row],[CÓDIGO PRODUCTO]],INVENTARIOBODEGA[],2,FALSE),"-")</f>
        <v>-</v>
      </c>
      <c r="E164" s="7" t="str">
        <f>IFERROR(VLOOKUP(SALIDASBODEGA[[#This Row],[CÓDIGO PRODUCTO]],INVENTARIOBODEGA[],3,FALSE),"-")</f>
        <v>-</v>
      </c>
      <c r="F164" s="3"/>
    </row>
    <row r="165" spans="1:6" x14ac:dyDescent="0.2">
      <c r="A165" s="6">
        <v>162</v>
      </c>
      <c r="B165" s="21">
        <v>45916</v>
      </c>
      <c r="C165" s="7"/>
      <c r="D165" s="7" t="str">
        <f>IFERROR(VLOOKUP(SALIDASBODEGA[[#This Row],[CÓDIGO PRODUCTO]],INVENTARIOBODEGA[],2,FALSE),"-")</f>
        <v>-</v>
      </c>
      <c r="E165" s="7" t="str">
        <f>IFERROR(VLOOKUP(SALIDASBODEGA[[#This Row],[CÓDIGO PRODUCTO]],INVENTARIOBODEGA[],3,FALSE),"-")</f>
        <v>-</v>
      </c>
      <c r="F165" s="3"/>
    </row>
    <row r="166" spans="1:6" x14ac:dyDescent="0.2">
      <c r="A166" s="6">
        <v>163</v>
      </c>
      <c r="B166" s="21">
        <v>45916</v>
      </c>
      <c r="C166" s="7"/>
      <c r="D166" s="7" t="str">
        <f>IFERROR(VLOOKUP(SALIDASBODEGA[[#This Row],[CÓDIGO PRODUCTO]],INVENTARIOBODEGA[],2,FALSE),"-")</f>
        <v>-</v>
      </c>
      <c r="E166" s="7" t="str">
        <f>IFERROR(VLOOKUP(SALIDASBODEGA[[#This Row],[CÓDIGO PRODUCTO]],INVENTARIOBODEGA[],3,FALSE),"-")</f>
        <v>-</v>
      </c>
      <c r="F166" s="3"/>
    </row>
    <row r="167" spans="1:6" x14ac:dyDescent="0.2">
      <c r="A167" s="6">
        <v>164</v>
      </c>
      <c r="B167" s="21">
        <v>45916</v>
      </c>
      <c r="C167" s="7"/>
      <c r="D167" s="7" t="str">
        <f>IFERROR(VLOOKUP(SALIDASBODEGA[[#This Row],[CÓDIGO PRODUCTO]],INVENTARIOBODEGA[],2,FALSE),"-")</f>
        <v>-</v>
      </c>
      <c r="E167" s="7" t="str">
        <f>IFERROR(VLOOKUP(SALIDASBODEGA[[#This Row],[CÓDIGO PRODUCTO]],INVENTARIOBODEGA[],3,FALSE),"-")</f>
        <v>-</v>
      </c>
      <c r="F167" s="3"/>
    </row>
    <row r="168" spans="1:6" x14ac:dyDescent="0.2">
      <c r="A168" s="6">
        <v>165</v>
      </c>
      <c r="B168" s="21">
        <v>45916</v>
      </c>
      <c r="C168" s="7"/>
      <c r="D168" s="7" t="str">
        <f>IFERROR(VLOOKUP(SALIDASBODEGA[[#This Row],[CÓDIGO PRODUCTO]],INVENTARIOBODEGA[],2,FALSE),"-")</f>
        <v>-</v>
      </c>
      <c r="E168" s="7" t="str">
        <f>IFERROR(VLOOKUP(SALIDASBODEGA[[#This Row],[CÓDIGO PRODUCTO]],INVENTARIOBODEGA[],3,FALSE),"-")</f>
        <v>-</v>
      </c>
      <c r="F168" s="3"/>
    </row>
    <row r="169" spans="1:6" x14ac:dyDescent="0.2">
      <c r="A169" s="6">
        <v>166</v>
      </c>
      <c r="B169" s="21">
        <v>45916</v>
      </c>
      <c r="C169" s="7"/>
      <c r="D169" s="7" t="str">
        <f>IFERROR(VLOOKUP(SALIDASBODEGA[[#This Row],[CÓDIGO PRODUCTO]],INVENTARIOBODEGA[],2,FALSE),"-")</f>
        <v>-</v>
      </c>
      <c r="E169" s="7" t="str">
        <f>IFERROR(VLOOKUP(SALIDASBODEGA[[#This Row],[CÓDIGO PRODUCTO]],INVENTARIOBODEGA[],3,FALSE),"-")</f>
        <v>-</v>
      </c>
      <c r="F169" s="3"/>
    </row>
    <row r="170" spans="1:6" x14ac:dyDescent="0.2">
      <c r="A170" s="6">
        <v>167</v>
      </c>
      <c r="B170" s="21">
        <v>45916</v>
      </c>
      <c r="C170" s="7"/>
      <c r="D170" s="7" t="str">
        <f>IFERROR(VLOOKUP(SALIDASBODEGA[[#This Row],[CÓDIGO PRODUCTO]],INVENTARIOBODEGA[],2,FALSE),"-")</f>
        <v>-</v>
      </c>
      <c r="E170" s="7" t="str">
        <f>IFERROR(VLOOKUP(SALIDASBODEGA[[#This Row],[CÓDIGO PRODUCTO]],INVENTARIOBODEGA[],3,FALSE),"-")</f>
        <v>-</v>
      </c>
      <c r="F170" s="3"/>
    </row>
    <row r="171" spans="1:6" x14ac:dyDescent="0.2">
      <c r="A171" s="6">
        <v>168</v>
      </c>
      <c r="B171" s="21">
        <v>45916</v>
      </c>
      <c r="C171" s="7"/>
      <c r="D171" s="7" t="str">
        <f>IFERROR(VLOOKUP(SALIDASBODEGA[[#This Row],[CÓDIGO PRODUCTO]],INVENTARIOBODEGA[],2,FALSE),"-")</f>
        <v>-</v>
      </c>
      <c r="E171" s="7" t="str">
        <f>IFERROR(VLOOKUP(SALIDASBODEGA[[#This Row],[CÓDIGO PRODUCTO]],INVENTARIOBODEGA[],3,FALSE),"-")</f>
        <v>-</v>
      </c>
      <c r="F171" s="3"/>
    </row>
    <row r="172" spans="1:6" x14ac:dyDescent="0.2">
      <c r="A172" s="6">
        <v>169</v>
      </c>
      <c r="B172" s="21">
        <v>45916</v>
      </c>
      <c r="C172" s="7"/>
      <c r="D172" s="7" t="str">
        <f>IFERROR(VLOOKUP(SALIDASBODEGA[[#This Row],[CÓDIGO PRODUCTO]],INVENTARIOBODEGA[],2,FALSE),"-")</f>
        <v>-</v>
      </c>
      <c r="E172" s="7" t="str">
        <f>IFERROR(VLOOKUP(SALIDASBODEGA[[#This Row],[CÓDIGO PRODUCTO]],INVENTARIOBODEGA[],3,FALSE),"-")</f>
        <v>-</v>
      </c>
      <c r="F172" s="3"/>
    </row>
    <row r="173" spans="1:6" x14ac:dyDescent="0.2">
      <c r="A173" s="6">
        <v>170</v>
      </c>
      <c r="B173" s="21">
        <v>45916</v>
      </c>
      <c r="C173" s="7"/>
      <c r="D173" s="7" t="str">
        <f>IFERROR(VLOOKUP(SALIDASBODEGA[[#This Row],[CÓDIGO PRODUCTO]],INVENTARIOBODEGA[],2,FALSE),"-")</f>
        <v>-</v>
      </c>
      <c r="E173" s="7" t="str">
        <f>IFERROR(VLOOKUP(SALIDASBODEGA[[#This Row],[CÓDIGO PRODUCTO]],INVENTARIOBODEGA[],3,FALSE),"-")</f>
        <v>-</v>
      </c>
      <c r="F173" s="3"/>
    </row>
    <row r="174" spans="1:6" x14ac:dyDescent="0.2">
      <c r="A174" s="6">
        <v>171</v>
      </c>
      <c r="B174" s="21">
        <v>45916</v>
      </c>
      <c r="C174" s="7"/>
      <c r="D174" s="7" t="str">
        <f>IFERROR(VLOOKUP(SALIDASBODEGA[[#This Row],[CÓDIGO PRODUCTO]],INVENTARIOBODEGA[],2,FALSE),"-")</f>
        <v>-</v>
      </c>
      <c r="E174" s="7" t="str">
        <f>IFERROR(VLOOKUP(SALIDASBODEGA[[#This Row],[CÓDIGO PRODUCTO]],INVENTARIOBODEGA[],3,FALSE),"-")</f>
        <v>-</v>
      </c>
      <c r="F174" s="3"/>
    </row>
    <row r="175" spans="1:6" x14ac:dyDescent="0.2">
      <c r="A175" s="6">
        <v>172</v>
      </c>
      <c r="B175" s="21">
        <v>45916</v>
      </c>
      <c r="C175" s="7"/>
      <c r="D175" s="7" t="str">
        <f>IFERROR(VLOOKUP(SALIDASBODEGA[[#This Row],[CÓDIGO PRODUCTO]],INVENTARIOBODEGA[],2,FALSE),"-")</f>
        <v>-</v>
      </c>
      <c r="E175" s="7" t="str">
        <f>IFERROR(VLOOKUP(SALIDASBODEGA[[#This Row],[CÓDIGO PRODUCTO]],INVENTARIOBODEGA[],3,FALSE),"-")</f>
        <v>-</v>
      </c>
      <c r="F175" s="3"/>
    </row>
    <row r="176" spans="1:6" x14ac:dyDescent="0.2">
      <c r="A176" s="6">
        <v>173</v>
      </c>
      <c r="B176" s="21">
        <v>45916</v>
      </c>
      <c r="C176" s="7"/>
      <c r="D176" s="7" t="str">
        <f>IFERROR(VLOOKUP(SALIDASBODEGA[[#This Row],[CÓDIGO PRODUCTO]],INVENTARIOBODEGA[],2,FALSE),"-")</f>
        <v>-</v>
      </c>
      <c r="E176" s="7" t="str">
        <f>IFERROR(VLOOKUP(SALIDASBODEGA[[#This Row],[CÓDIGO PRODUCTO]],INVENTARIOBODEGA[],3,FALSE),"-")</f>
        <v>-</v>
      </c>
      <c r="F176" s="3"/>
    </row>
    <row r="177" spans="1:6" x14ac:dyDescent="0.2">
      <c r="A177" s="6">
        <v>174</v>
      </c>
      <c r="B177" s="21">
        <v>45916</v>
      </c>
      <c r="C177" s="7"/>
      <c r="D177" s="7" t="str">
        <f>IFERROR(VLOOKUP(SALIDASBODEGA[[#This Row],[CÓDIGO PRODUCTO]],INVENTARIOBODEGA[],2,FALSE),"-")</f>
        <v>-</v>
      </c>
      <c r="E177" s="7" t="str">
        <f>IFERROR(VLOOKUP(SALIDASBODEGA[[#This Row],[CÓDIGO PRODUCTO]],INVENTARIOBODEGA[],3,FALSE),"-")</f>
        <v>-</v>
      </c>
      <c r="F177" s="3"/>
    </row>
    <row r="178" spans="1:6" x14ac:dyDescent="0.2">
      <c r="A178" s="6">
        <v>175</v>
      </c>
      <c r="B178" s="21">
        <v>45916</v>
      </c>
      <c r="C178" s="7"/>
      <c r="D178" s="7" t="str">
        <f>IFERROR(VLOOKUP(SALIDASBODEGA[[#This Row],[CÓDIGO PRODUCTO]],INVENTARIOBODEGA[],2,FALSE),"-")</f>
        <v>-</v>
      </c>
      <c r="E178" s="7" t="str">
        <f>IFERROR(VLOOKUP(SALIDASBODEGA[[#This Row],[CÓDIGO PRODUCTO]],INVENTARIOBODEGA[],3,FALSE),"-")</f>
        <v>-</v>
      </c>
      <c r="F178" s="3"/>
    </row>
    <row r="179" spans="1:6" x14ac:dyDescent="0.2">
      <c r="A179" s="6">
        <v>176</v>
      </c>
      <c r="B179" s="21">
        <v>45916</v>
      </c>
      <c r="C179" s="7"/>
      <c r="D179" s="7" t="str">
        <f>IFERROR(VLOOKUP(SALIDASBODEGA[[#This Row],[CÓDIGO PRODUCTO]],INVENTARIOBODEGA[],2,FALSE),"-")</f>
        <v>-</v>
      </c>
      <c r="E179" s="7" t="str">
        <f>IFERROR(VLOOKUP(SALIDASBODEGA[[#This Row],[CÓDIGO PRODUCTO]],INVENTARIOBODEGA[],3,FALSE),"-")</f>
        <v>-</v>
      </c>
      <c r="F179" s="3"/>
    </row>
    <row r="180" spans="1:6" x14ac:dyDescent="0.2">
      <c r="A180" s="6">
        <v>177</v>
      </c>
      <c r="B180" s="21">
        <v>45916</v>
      </c>
      <c r="C180" s="7"/>
      <c r="D180" s="7" t="str">
        <f>IFERROR(VLOOKUP(SALIDASBODEGA[[#This Row],[CÓDIGO PRODUCTO]],INVENTARIOBODEGA[],2,FALSE),"-")</f>
        <v>-</v>
      </c>
      <c r="E180" s="7" t="str">
        <f>IFERROR(VLOOKUP(SALIDASBODEGA[[#This Row],[CÓDIGO PRODUCTO]],INVENTARIOBODEGA[],3,FALSE),"-")</f>
        <v>-</v>
      </c>
      <c r="F180" s="3"/>
    </row>
    <row r="181" spans="1:6" x14ac:dyDescent="0.2">
      <c r="A181" s="6">
        <v>178</v>
      </c>
      <c r="B181" s="21">
        <v>45916</v>
      </c>
      <c r="C181" s="7"/>
      <c r="D181" s="7" t="str">
        <f>IFERROR(VLOOKUP(SALIDASBODEGA[[#This Row],[CÓDIGO PRODUCTO]],INVENTARIOBODEGA[],2,FALSE),"-")</f>
        <v>-</v>
      </c>
      <c r="E181" s="7" t="str">
        <f>IFERROR(VLOOKUP(SALIDASBODEGA[[#This Row],[CÓDIGO PRODUCTO]],INVENTARIOBODEGA[],3,FALSE),"-")</f>
        <v>-</v>
      </c>
      <c r="F181" s="3"/>
    </row>
    <row r="182" spans="1:6" x14ac:dyDescent="0.2">
      <c r="A182" s="6">
        <v>179</v>
      </c>
      <c r="B182" s="21">
        <v>45916</v>
      </c>
      <c r="C182" s="7"/>
      <c r="D182" s="7" t="str">
        <f>IFERROR(VLOOKUP(SALIDASBODEGA[[#This Row],[CÓDIGO PRODUCTO]],INVENTARIOBODEGA[],2,FALSE),"-")</f>
        <v>-</v>
      </c>
      <c r="E182" s="7" t="str">
        <f>IFERROR(VLOOKUP(SALIDASBODEGA[[#This Row],[CÓDIGO PRODUCTO]],INVENTARIOBODEGA[],3,FALSE),"-")</f>
        <v>-</v>
      </c>
      <c r="F182" s="3"/>
    </row>
    <row r="183" spans="1:6" x14ac:dyDescent="0.2">
      <c r="A183" s="6">
        <v>180</v>
      </c>
      <c r="B183" s="21">
        <v>45916</v>
      </c>
      <c r="C183" s="7"/>
      <c r="D183" s="7" t="str">
        <f>IFERROR(VLOOKUP(SALIDASBODEGA[[#This Row],[CÓDIGO PRODUCTO]],INVENTARIOBODEGA[],2,FALSE),"-")</f>
        <v>-</v>
      </c>
      <c r="E183" s="7" t="str">
        <f>IFERROR(VLOOKUP(SALIDASBODEGA[[#This Row],[CÓDIGO PRODUCTO]],INVENTARIOBODEGA[],3,FALSE),"-")</f>
        <v>-</v>
      </c>
      <c r="F183" s="3"/>
    </row>
    <row r="184" spans="1:6" x14ac:dyDescent="0.2">
      <c r="A184" s="6">
        <v>181</v>
      </c>
      <c r="B184" s="21">
        <v>45916</v>
      </c>
      <c r="C184" s="7"/>
      <c r="D184" s="7" t="str">
        <f>IFERROR(VLOOKUP(SALIDASBODEGA[[#This Row],[CÓDIGO PRODUCTO]],INVENTARIOBODEGA[],2,FALSE),"-")</f>
        <v>-</v>
      </c>
      <c r="E184" s="7" t="str">
        <f>IFERROR(VLOOKUP(SALIDASBODEGA[[#This Row],[CÓDIGO PRODUCTO]],INVENTARIOBODEGA[],3,FALSE),"-")</f>
        <v>-</v>
      </c>
      <c r="F184" s="3"/>
    </row>
    <row r="185" spans="1:6" x14ac:dyDescent="0.2">
      <c r="A185" s="6">
        <v>182</v>
      </c>
      <c r="B185" s="21">
        <v>45916</v>
      </c>
      <c r="C185" s="7"/>
      <c r="D185" s="7" t="str">
        <f>IFERROR(VLOOKUP(SALIDASBODEGA[[#This Row],[CÓDIGO PRODUCTO]],INVENTARIOBODEGA[],2,FALSE),"-")</f>
        <v>-</v>
      </c>
      <c r="E185" s="7" t="str">
        <f>IFERROR(VLOOKUP(SALIDASBODEGA[[#This Row],[CÓDIGO PRODUCTO]],INVENTARIOBODEGA[],3,FALSE),"-")</f>
        <v>-</v>
      </c>
      <c r="F185" s="3"/>
    </row>
    <row r="186" spans="1:6" x14ac:dyDescent="0.2">
      <c r="A186" s="6">
        <v>183</v>
      </c>
      <c r="B186" s="21">
        <v>45916</v>
      </c>
      <c r="C186" s="7"/>
      <c r="D186" s="7" t="str">
        <f>IFERROR(VLOOKUP(SALIDASBODEGA[[#This Row],[CÓDIGO PRODUCTO]],INVENTARIOBODEGA[],2,FALSE),"-")</f>
        <v>-</v>
      </c>
      <c r="E186" s="7" t="str">
        <f>IFERROR(VLOOKUP(SALIDASBODEGA[[#This Row],[CÓDIGO PRODUCTO]],INVENTARIOBODEGA[],3,FALSE),"-")</f>
        <v>-</v>
      </c>
      <c r="F186" s="3"/>
    </row>
    <row r="187" spans="1:6" x14ac:dyDescent="0.2">
      <c r="A187" s="6">
        <v>184</v>
      </c>
      <c r="B187" s="21">
        <v>45916</v>
      </c>
      <c r="C187" s="7"/>
      <c r="D187" s="7" t="str">
        <f>IFERROR(VLOOKUP(SALIDASBODEGA[[#This Row],[CÓDIGO PRODUCTO]],INVENTARIOBODEGA[],2,FALSE),"-")</f>
        <v>-</v>
      </c>
      <c r="E187" s="7" t="str">
        <f>IFERROR(VLOOKUP(SALIDASBODEGA[[#This Row],[CÓDIGO PRODUCTO]],INVENTARIOBODEGA[],3,FALSE),"-")</f>
        <v>-</v>
      </c>
      <c r="F187" s="3"/>
    </row>
    <row r="188" spans="1:6" x14ac:dyDescent="0.2">
      <c r="A188" s="6">
        <v>185</v>
      </c>
      <c r="B188" s="21">
        <v>45916</v>
      </c>
      <c r="C188" s="7"/>
      <c r="D188" s="7" t="str">
        <f>IFERROR(VLOOKUP(SALIDASBODEGA[[#This Row],[CÓDIGO PRODUCTO]],INVENTARIOBODEGA[],2,FALSE),"-")</f>
        <v>-</v>
      </c>
      <c r="E188" s="7" t="str">
        <f>IFERROR(VLOOKUP(SALIDASBODEGA[[#This Row],[CÓDIGO PRODUCTO]],INVENTARIOBODEGA[],3,FALSE),"-")</f>
        <v>-</v>
      </c>
      <c r="F188" s="3"/>
    </row>
    <row r="189" spans="1:6" x14ac:dyDescent="0.2">
      <c r="A189" s="6">
        <v>186</v>
      </c>
      <c r="B189" s="21">
        <v>45916</v>
      </c>
      <c r="C189" s="7"/>
      <c r="D189" s="7" t="str">
        <f>IFERROR(VLOOKUP(SALIDASBODEGA[[#This Row],[CÓDIGO PRODUCTO]],INVENTARIOBODEGA[],2,FALSE),"-")</f>
        <v>-</v>
      </c>
      <c r="E189" s="7" t="str">
        <f>IFERROR(VLOOKUP(SALIDASBODEGA[[#This Row],[CÓDIGO PRODUCTO]],INVENTARIOBODEGA[],3,FALSE),"-")</f>
        <v>-</v>
      </c>
      <c r="F189" s="3"/>
    </row>
    <row r="190" spans="1:6" x14ac:dyDescent="0.2">
      <c r="A190" s="6">
        <v>187</v>
      </c>
      <c r="B190" s="21">
        <v>45916</v>
      </c>
      <c r="C190" s="7"/>
      <c r="D190" s="7" t="str">
        <f>IFERROR(VLOOKUP(SALIDASBODEGA[[#This Row],[CÓDIGO PRODUCTO]],INVENTARIOBODEGA[],2,FALSE),"-")</f>
        <v>-</v>
      </c>
      <c r="E190" s="7" t="str">
        <f>IFERROR(VLOOKUP(SALIDASBODEGA[[#This Row],[CÓDIGO PRODUCTO]],INVENTARIOBODEGA[],3,FALSE),"-")</f>
        <v>-</v>
      </c>
      <c r="F190" s="3"/>
    </row>
    <row r="191" spans="1:6" x14ac:dyDescent="0.2">
      <c r="A191" s="6">
        <v>188</v>
      </c>
      <c r="B191" s="21">
        <v>45916</v>
      </c>
      <c r="C191" s="7"/>
      <c r="D191" s="7" t="str">
        <f>IFERROR(VLOOKUP(SALIDASBODEGA[[#This Row],[CÓDIGO PRODUCTO]],INVENTARIOBODEGA[],2,FALSE),"-")</f>
        <v>-</v>
      </c>
      <c r="E191" s="7" t="str">
        <f>IFERROR(VLOOKUP(SALIDASBODEGA[[#This Row],[CÓDIGO PRODUCTO]],INVENTARIOBODEGA[],3,FALSE),"-")</f>
        <v>-</v>
      </c>
      <c r="F191" s="3"/>
    </row>
    <row r="192" spans="1:6" x14ac:dyDescent="0.2">
      <c r="A192" s="6">
        <v>189</v>
      </c>
      <c r="B192" s="21">
        <v>45916</v>
      </c>
      <c r="C192" s="7"/>
      <c r="D192" s="7" t="str">
        <f>IFERROR(VLOOKUP(SALIDASBODEGA[[#This Row],[CÓDIGO PRODUCTO]],INVENTARIOBODEGA[],2,FALSE),"-")</f>
        <v>-</v>
      </c>
      <c r="E192" s="7" t="str">
        <f>IFERROR(VLOOKUP(SALIDASBODEGA[[#This Row],[CÓDIGO PRODUCTO]],INVENTARIOBODEGA[],3,FALSE),"-")</f>
        <v>-</v>
      </c>
      <c r="F192" s="3"/>
    </row>
    <row r="193" spans="1:6" x14ac:dyDescent="0.2">
      <c r="A193" s="6">
        <v>190</v>
      </c>
      <c r="B193" s="21">
        <v>45916</v>
      </c>
      <c r="C193" s="7"/>
      <c r="D193" s="7" t="str">
        <f>IFERROR(VLOOKUP(SALIDASBODEGA[[#This Row],[CÓDIGO PRODUCTO]],INVENTARIOBODEGA[],2,FALSE),"-")</f>
        <v>-</v>
      </c>
      <c r="E193" s="7" t="str">
        <f>IFERROR(VLOOKUP(SALIDASBODEGA[[#This Row],[CÓDIGO PRODUCTO]],INVENTARIOBODEGA[],3,FALSE),"-")</f>
        <v>-</v>
      </c>
      <c r="F193" s="3"/>
    </row>
    <row r="194" spans="1:6" x14ac:dyDescent="0.2">
      <c r="A194" s="6">
        <v>191</v>
      </c>
      <c r="B194" s="21">
        <v>45916</v>
      </c>
      <c r="C194" s="7"/>
      <c r="D194" s="7" t="str">
        <f>IFERROR(VLOOKUP(SALIDASBODEGA[[#This Row],[CÓDIGO PRODUCTO]],INVENTARIOBODEGA[],2,FALSE),"-")</f>
        <v>-</v>
      </c>
      <c r="E194" s="7" t="str">
        <f>IFERROR(VLOOKUP(SALIDASBODEGA[[#This Row],[CÓDIGO PRODUCTO]],INVENTARIOBODEGA[],3,FALSE),"-")</f>
        <v>-</v>
      </c>
      <c r="F194" s="3"/>
    </row>
    <row r="195" spans="1:6" x14ac:dyDescent="0.2">
      <c r="A195" s="6">
        <v>192</v>
      </c>
      <c r="B195" s="21">
        <v>45916</v>
      </c>
      <c r="C195" s="7"/>
      <c r="D195" s="7" t="str">
        <f>IFERROR(VLOOKUP(SALIDASBODEGA[[#This Row],[CÓDIGO PRODUCTO]],INVENTARIOBODEGA[],2,FALSE),"-")</f>
        <v>-</v>
      </c>
      <c r="E195" s="7" t="str">
        <f>IFERROR(VLOOKUP(SALIDASBODEGA[[#This Row],[CÓDIGO PRODUCTO]],INVENTARIOBODEGA[],3,FALSE),"-")</f>
        <v>-</v>
      </c>
      <c r="F195" s="3"/>
    </row>
    <row r="196" spans="1:6" x14ac:dyDescent="0.2">
      <c r="A196" s="6">
        <v>193</v>
      </c>
      <c r="B196" s="21">
        <v>45916</v>
      </c>
      <c r="C196" s="7"/>
      <c r="D196" s="7" t="str">
        <f>IFERROR(VLOOKUP(SALIDASBODEGA[[#This Row],[CÓDIGO PRODUCTO]],INVENTARIOBODEGA[],2,FALSE),"-")</f>
        <v>-</v>
      </c>
      <c r="E196" s="7" t="str">
        <f>IFERROR(VLOOKUP(SALIDASBODEGA[[#This Row],[CÓDIGO PRODUCTO]],INVENTARIOBODEGA[],3,FALSE),"-")</f>
        <v>-</v>
      </c>
      <c r="F196" s="3"/>
    </row>
    <row r="197" spans="1:6" x14ac:dyDescent="0.2">
      <c r="A197" s="6">
        <v>194</v>
      </c>
      <c r="B197" s="21">
        <v>45916</v>
      </c>
      <c r="C197" s="7"/>
      <c r="D197" s="7" t="str">
        <f>IFERROR(VLOOKUP(SALIDASBODEGA[[#This Row],[CÓDIGO PRODUCTO]],INVENTARIOBODEGA[],2,FALSE),"-")</f>
        <v>-</v>
      </c>
      <c r="E197" s="7" t="str">
        <f>IFERROR(VLOOKUP(SALIDASBODEGA[[#This Row],[CÓDIGO PRODUCTO]],INVENTARIOBODEGA[],3,FALSE),"-")</f>
        <v>-</v>
      </c>
      <c r="F197" s="3"/>
    </row>
    <row r="198" spans="1:6" x14ac:dyDescent="0.2">
      <c r="A198" s="6">
        <v>195</v>
      </c>
      <c r="B198" s="21">
        <v>45916</v>
      </c>
      <c r="C198" s="7"/>
      <c r="D198" s="7" t="str">
        <f>IFERROR(VLOOKUP(SALIDASBODEGA[[#This Row],[CÓDIGO PRODUCTO]],INVENTARIOBODEGA[],2,FALSE),"-")</f>
        <v>-</v>
      </c>
      <c r="E198" s="7" t="str">
        <f>IFERROR(VLOOKUP(SALIDASBODEGA[[#This Row],[CÓDIGO PRODUCTO]],INVENTARIOBODEGA[],3,FALSE),"-")</f>
        <v>-</v>
      </c>
      <c r="F198" s="3"/>
    </row>
    <row r="199" spans="1:6" x14ac:dyDescent="0.2">
      <c r="A199" s="6">
        <v>196</v>
      </c>
      <c r="B199" s="21">
        <v>45916</v>
      </c>
      <c r="C199" s="7"/>
      <c r="D199" s="7" t="str">
        <f>IFERROR(VLOOKUP(SALIDASBODEGA[[#This Row],[CÓDIGO PRODUCTO]],INVENTARIOBODEGA[],2,FALSE),"-")</f>
        <v>-</v>
      </c>
      <c r="E199" s="7" t="str">
        <f>IFERROR(VLOOKUP(SALIDASBODEGA[[#This Row],[CÓDIGO PRODUCTO]],INVENTARIOBODEGA[],3,FALSE),"-")</f>
        <v>-</v>
      </c>
      <c r="F199" s="3"/>
    </row>
    <row r="200" spans="1:6" x14ac:dyDescent="0.2">
      <c r="A200" s="6">
        <v>197</v>
      </c>
      <c r="B200" s="21">
        <v>45916</v>
      </c>
      <c r="C200" s="7"/>
      <c r="D200" s="7" t="str">
        <f>IFERROR(VLOOKUP(SALIDASBODEGA[[#This Row],[CÓDIGO PRODUCTO]],INVENTARIOBODEGA[],2,FALSE),"-")</f>
        <v>-</v>
      </c>
      <c r="E200" s="7" t="str">
        <f>IFERROR(VLOOKUP(SALIDASBODEGA[[#This Row],[CÓDIGO PRODUCTO]],INVENTARIOBODEGA[],3,FALSE),"-")</f>
        <v>-</v>
      </c>
      <c r="F200" s="3"/>
    </row>
    <row r="201" spans="1:6" x14ac:dyDescent="0.2">
      <c r="A201" s="6">
        <v>198</v>
      </c>
      <c r="B201" s="21">
        <v>45916</v>
      </c>
      <c r="C201" s="7"/>
      <c r="D201" s="7" t="str">
        <f>IFERROR(VLOOKUP(SALIDASBODEGA[[#This Row],[CÓDIGO PRODUCTO]],INVENTARIOBODEGA[],2,FALSE),"-")</f>
        <v>-</v>
      </c>
      <c r="E201" s="7" t="str">
        <f>IFERROR(VLOOKUP(SALIDASBODEGA[[#This Row],[CÓDIGO PRODUCTO]],INVENTARIOBODEGA[],3,FALSE),"-")</f>
        <v>-</v>
      </c>
      <c r="F201" s="3"/>
    </row>
    <row r="202" spans="1:6" x14ac:dyDescent="0.2">
      <c r="A202" s="6">
        <v>199</v>
      </c>
      <c r="B202" s="21">
        <v>45916</v>
      </c>
      <c r="C202" s="7"/>
      <c r="D202" s="7" t="str">
        <f>IFERROR(VLOOKUP(SALIDASBODEGA[[#This Row],[CÓDIGO PRODUCTO]],INVENTARIOBODEGA[],2,FALSE),"-")</f>
        <v>-</v>
      </c>
      <c r="E202" s="7" t="str">
        <f>IFERROR(VLOOKUP(SALIDASBODEGA[[#This Row],[CÓDIGO PRODUCTO]],INVENTARIOBODEGA[],3,FALSE),"-")</f>
        <v>-</v>
      </c>
      <c r="F202" s="3"/>
    </row>
    <row r="203" spans="1:6" x14ac:dyDescent="0.2">
      <c r="A203" s="6">
        <v>200</v>
      </c>
      <c r="B203" s="21">
        <v>45916</v>
      </c>
      <c r="C203" s="7"/>
      <c r="D203" s="7" t="str">
        <f>IFERROR(VLOOKUP(SALIDASBODEGA[[#This Row],[CÓDIGO PRODUCTO]],INVENTARIOBODEGA[],2,FALSE),"-")</f>
        <v>-</v>
      </c>
      <c r="E203" s="7" t="str">
        <f>IFERROR(VLOOKUP(SALIDASBODEGA[[#This Row],[CÓDIGO PRODUCTO]],INVENTARIOBODEGA[],3,FALSE),"-")</f>
        <v>-</v>
      </c>
      <c r="F203" s="3"/>
    </row>
    <row r="204" spans="1:6" x14ac:dyDescent="0.2">
      <c r="A204" s="6">
        <v>201</v>
      </c>
      <c r="B204" s="21">
        <v>45916</v>
      </c>
      <c r="C204" s="7"/>
      <c r="D204" s="7" t="str">
        <f>IFERROR(VLOOKUP(SALIDASBODEGA[[#This Row],[CÓDIGO PRODUCTO]],INVENTARIOBODEGA[],2,FALSE),"-")</f>
        <v>-</v>
      </c>
      <c r="E204" s="7" t="str">
        <f>IFERROR(VLOOKUP(SALIDASBODEGA[[#This Row],[CÓDIGO PRODUCTO]],INVENTARIOBODEGA[],3,FALSE),"-")</f>
        <v>-</v>
      </c>
      <c r="F204" s="3"/>
    </row>
    <row r="205" spans="1:6" x14ac:dyDescent="0.2">
      <c r="A205" s="6">
        <v>202</v>
      </c>
      <c r="B205" s="21">
        <v>45916</v>
      </c>
      <c r="C205" s="7"/>
      <c r="D205" s="7" t="str">
        <f>IFERROR(VLOOKUP(SALIDASBODEGA[[#This Row],[CÓDIGO PRODUCTO]],INVENTARIOBODEGA[],2,FALSE),"-")</f>
        <v>-</v>
      </c>
      <c r="E205" s="7" t="str">
        <f>IFERROR(VLOOKUP(SALIDASBODEGA[[#This Row],[CÓDIGO PRODUCTO]],INVENTARIOBODEGA[],3,FALSE),"-")</f>
        <v>-</v>
      </c>
      <c r="F205" s="3"/>
    </row>
    <row r="206" spans="1:6" x14ac:dyDescent="0.2">
      <c r="A206" s="6">
        <v>203</v>
      </c>
      <c r="B206" s="21">
        <v>45916</v>
      </c>
      <c r="C206" s="7"/>
      <c r="D206" s="7" t="str">
        <f>IFERROR(VLOOKUP(SALIDASBODEGA[[#This Row],[CÓDIGO PRODUCTO]],INVENTARIOBODEGA[],2,FALSE),"-")</f>
        <v>-</v>
      </c>
      <c r="E206" s="7" t="str">
        <f>IFERROR(VLOOKUP(SALIDASBODEGA[[#This Row],[CÓDIGO PRODUCTO]],INVENTARIOBODEGA[],3,FALSE),"-")</f>
        <v>-</v>
      </c>
      <c r="F206" s="3"/>
    </row>
    <row r="207" spans="1:6" x14ac:dyDescent="0.2">
      <c r="A207" s="6">
        <v>204</v>
      </c>
      <c r="B207" s="21">
        <v>45916</v>
      </c>
      <c r="C207" s="7"/>
      <c r="D207" s="7" t="str">
        <f>IFERROR(VLOOKUP(SALIDASBODEGA[[#This Row],[CÓDIGO PRODUCTO]],INVENTARIOBODEGA[],2,FALSE),"-")</f>
        <v>-</v>
      </c>
      <c r="E207" s="7" t="str">
        <f>IFERROR(VLOOKUP(SALIDASBODEGA[[#This Row],[CÓDIGO PRODUCTO]],INVENTARIOBODEGA[],3,FALSE),"-")</f>
        <v>-</v>
      </c>
      <c r="F207" s="3"/>
    </row>
    <row r="208" spans="1:6" x14ac:dyDescent="0.2">
      <c r="A208" s="6">
        <v>205</v>
      </c>
      <c r="B208" s="21">
        <v>45916</v>
      </c>
      <c r="C208" s="7"/>
      <c r="D208" s="7" t="str">
        <f>IFERROR(VLOOKUP(SALIDASBODEGA[[#This Row],[CÓDIGO PRODUCTO]],INVENTARIOBODEGA[],2,FALSE),"-")</f>
        <v>-</v>
      </c>
      <c r="E208" s="7" t="str">
        <f>IFERROR(VLOOKUP(SALIDASBODEGA[[#This Row],[CÓDIGO PRODUCTO]],INVENTARIOBODEGA[],3,FALSE),"-")</f>
        <v>-</v>
      </c>
      <c r="F208" s="3"/>
    </row>
    <row r="209" spans="1:6" x14ac:dyDescent="0.2">
      <c r="A209" s="6">
        <v>206</v>
      </c>
      <c r="B209" s="21">
        <v>45916</v>
      </c>
      <c r="C209" s="7"/>
      <c r="D209" s="7" t="str">
        <f>IFERROR(VLOOKUP(SALIDASBODEGA[[#This Row],[CÓDIGO PRODUCTO]],INVENTARIOBODEGA[],2,FALSE),"-")</f>
        <v>-</v>
      </c>
      <c r="E209" s="7" t="str">
        <f>IFERROR(VLOOKUP(SALIDASBODEGA[[#This Row],[CÓDIGO PRODUCTO]],INVENTARIOBODEGA[],3,FALSE),"-")</f>
        <v>-</v>
      </c>
      <c r="F209" s="3"/>
    </row>
    <row r="210" spans="1:6" x14ac:dyDescent="0.2">
      <c r="A210" s="6">
        <v>207</v>
      </c>
      <c r="B210" s="21">
        <v>45916</v>
      </c>
      <c r="C210" s="7"/>
      <c r="D210" s="7" t="str">
        <f>IFERROR(VLOOKUP(SALIDASBODEGA[[#This Row],[CÓDIGO PRODUCTO]],INVENTARIOBODEGA[],2,FALSE),"-")</f>
        <v>-</v>
      </c>
      <c r="E210" s="7" t="str">
        <f>IFERROR(VLOOKUP(SALIDASBODEGA[[#This Row],[CÓDIGO PRODUCTO]],INVENTARIOBODEGA[],3,FALSE),"-")</f>
        <v>-</v>
      </c>
      <c r="F210" s="3"/>
    </row>
    <row r="211" spans="1:6" x14ac:dyDescent="0.2">
      <c r="A211" s="6">
        <v>208</v>
      </c>
      <c r="B211" s="21">
        <v>45916</v>
      </c>
      <c r="C211" s="7"/>
      <c r="D211" s="7" t="str">
        <f>IFERROR(VLOOKUP(SALIDASBODEGA[[#This Row],[CÓDIGO PRODUCTO]],INVENTARIOBODEGA[],2,FALSE),"-")</f>
        <v>-</v>
      </c>
      <c r="E211" s="7" t="str">
        <f>IFERROR(VLOOKUP(SALIDASBODEGA[[#This Row],[CÓDIGO PRODUCTO]],INVENTARIOBODEGA[],3,FALSE),"-")</f>
        <v>-</v>
      </c>
      <c r="F211" s="3"/>
    </row>
    <row r="212" spans="1:6" x14ac:dyDescent="0.2">
      <c r="A212" s="6">
        <v>209</v>
      </c>
      <c r="B212" s="21">
        <v>45916</v>
      </c>
      <c r="C212" s="7"/>
      <c r="D212" s="7" t="str">
        <f>IFERROR(VLOOKUP(SALIDASBODEGA[[#This Row],[CÓDIGO PRODUCTO]],INVENTARIOBODEGA[],2,FALSE),"-")</f>
        <v>-</v>
      </c>
      <c r="E212" s="7" t="str">
        <f>IFERROR(VLOOKUP(SALIDASBODEGA[[#This Row],[CÓDIGO PRODUCTO]],INVENTARIOBODEGA[],3,FALSE),"-")</f>
        <v>-</v>
      </c>
      <c r="F212" s="3"/>
    </row>
    <row r="213" spans="1:6" x14ac:dyDescent="0.2">
      <c r="A213" s="6">
        <v>210</v>
      </c>
      <c r="B213" s="21">
        <v>45916</v>
      </c>
      <c r="C213" s="7"/>
      <c r="D213" s="7" t="str">
        <f>IFERROR(VLOOKUP(SALIDASBODEGA[[#This Row],[CÓDIGO PRODUCTO]],INVENTARIOBODEGA[],2,FALSE),"-")</f>
        <v>-</v>
      </c>
      <c r="E213" s="7" t="str">
        <f>IFERROR(VLOOKUP(SALIDASBODEGA[[#This Row],[CÓDIGO PRODUCTO]],INVENTARIOBODEGA[],3,FALSE),"-")</f>
        <v>-</v>
      </c>
      <c r="F213" s="3"/>
    </row>
  </sheetData>
  <mergeCells count="2">
    <mergeCell ref="A1:F1"/>
    <mergeCell ref="I5:J15"/>
  </mergeCells>
  <phoneticPr fontId="6" type="noConversion"/>
  <pageMargins left="0.7" right="0.7" top="0.75" bottom="0.75" header="0.3" footer="0.3"/>
  <ignoredErrors>
    <ignoredError sqref="C28" listDataValidation="1"/>
    <ignoredError sqref="B30" twoDigitTextYear="1"/>
  </ignoredErrors>
  <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97061C9A-F761-4593-83B5-638587D8A902}">
          <x14:formula1>
            <xm:f>' INVENTARIOBODEGA'!$A$4:$A$132</xm:f>
          </x14:formula1>
          <xm:sqref>C133:C213</xm:sqref>
        </x14:dataValidation>
        <x14:dataValidation type="list" allowBlank="1" showInputMessage="1" showErrorMessage="1" xr:uid="{1C6AFAE1-EEE0-41D8-B2BC-43981C10BC56}">
          <x14:formula1>
            <xm:f>' INVENTARIOBODEGA'!$A$4:$A$179</xm:f>
          </x14:formula1>
          <xm:sqref>C124:C132</xm:sqref>
        </x14:dataValidation>
        <x14:dataValidation type="list" allowBlank="1" showInputMessage="1" showErrorMessage="1" xr:uid="{718FD391-D7E9-4CCC-85CD-55AAD4F45CD5}">
          <x14:formula1>
            <xm:f>' INVENTARIOBODEGA'!$A$4:$A$174</xm:f>
          </x14:formula1>
          <xm:sqref>C119:C123</xm:sqref>
        </x14:dataValidation>
        <x14:dataValidation type="list" allowBlank="1" showInputMessage="1" showErrorMessage="1" xr:uid="{CB533440-6831-4A73-BFFB-1A24C96BF5E8}">
          <x14:formula1>
            <xm:f>' INVENTARIOBODEGA'!$A$4:$A$118</xm:f>
          </x14:formula1>
          <xm:sqref>C4:C62 C64:C118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7615F-F21F-4106-BF80-68A1522D0189}">
  <sheetPr>
    <tabColor theme="5" tint="0.39997558519241921"/>
  </sheetPr>
  <dimension ref="A1:I197"/>
  <sheetViews>
    <sheetView topLeftCell="A106" zoomScale="60" workbookViewId="0">
      <selection activeCell="A145" sqref="A145"/>
    </sheetView>
  </sheetViews>
  <sheetFormatPr baseColWidth="10" defaultRowHeight="15" x14ac:dyDescent="0.2"/>
  <cols>
    <col min="1" max="1" width="18.6640625" customWidth="1"/>
    <col min="2" max="2" width="63.33203125" customWidth="1"/>
    <col min="3" max="3" width="12.83203125" customWidth="1"/>
    <col min="4" max="4" width="16.6640625" customWidth="1"/>
    <col min="5" max="5" width="14.6640625" customWidth="1"/>
    <col min="6" max="6" width="13.6640625" customWidth="1"/>
    <col min="7" max="7" width="14.6640625" customWidth="1"/>
    <col min="8" max="8" width="18.83203125" customWidth="1"/>
    <col min="9" max="9" width="17.1640625" customWidth="1"/>
  </cols>
  <sheetData>
    <row r="1" spans="1:9" ht="30.75" customHeight="1" x14ac:dyDescent="0.2">
      <c r="A1" s="23" t="s">
        <v>305</v>
      </c>
      <c r="B1" s="23"/>
      <c r="C1" s="23"/>
      <c r="D1" s="23"/>
      <c r="E1" s="23"/>
      <c r="F1" s="23"/>
      <c r="G1" s="23"/>
      <c r="H1" s="23"/>
    </row>
    <row r="3" spans="1:9" ht="47.25" customHeight="1" x14ac:dyDescent="0.2">
      <c r="A3" s="1" t="s">
        <v>9</v>
      </c>
      <c r="B3" s="1" t="s">
        <v>301</v>
      </c>
      <c r="C3" s="1" t="s">
        <v>1</v>
      </c>
      <c r="D3" s="1" t="s">
        <v>2</v>
      </c>
      <c r="E3" s="1" t="s">
        <v>302</v>
      </c>
      <c r="F3" s="1" t="s">
        <v>304</v>
      </c>
      <c r="G3" s="1" t="s">
        <v>303</v>
      </c>
      <c r="H3" s="1" t="s">
        <v>389</v>
      </c>
      <c r="I3" s="11"/>
    </row>
    <row r="4" spans="1:9" x14ac:dyDescent="0.2">
      <c r="A4" s="3" t="s">
        <v>629</v>
      </c>
      <c r="B4" s="12" t="s">
        <v>378</v>
      </c>
      <c r="C4" s="3" t="s">
        <v>153</v>
      </c>
      <c r="D4" s="7">
        <f>IFERROR(SUMIFS(ENTRADASOF[CANTIDAD],ENTRADASOF[DESCRIPCIÓN],INVENTARIOOFICINA[[#This Row],[DESCRIPCIÓN ]],ENTRADASOF[LOTE],INVENTARIOOFICINA[[#This Row],[LOTE]]),"-")</f>
        <v>1</v>
      </c>
      <c r="E4" s="7">
        <f>IFERROR(SUMIFS(SALIDASOF[CANTIDAD],SALIDASOF[DESCRIPCIÓN],INVENTARIOOFICINA[[#This Row],[DESCRIPCIÓN ]],SALIDASOF[LOTE],INVENTARIOOFICINA[[#This Row],[LOTE]]),"-")</f>
        <v>0</v>
      </c>
      <c r="F4" s="19">
        <f>INVENTARIOOFICINA[[#This Row],[ENTRADAS]]-INVENTARIOOFICINA[[#This Row],[SALIDAS]]</f>
        <v>1</v>
      </c>
      <c r="G4" s="3"/>
      <c r="H4" s="14">
        <f>INVENTARIOOFICINA[[#This Row],[PRECIO UNITARIO ]]*INVENTARIOOFICINA[[#This Row],[STOCK ACTUAL ]]</f>
        <v>0</v>
      </c>
    </row>
    <row r="5" spans="1:9" x14ac:dyDescent="0.2">
      <c r="A5" s="3" t="s">
        <v>630</v>
      </c>
      <c r="B5" s="12" t="s">
        <v>314</v>
      </c>
      <c r="C5" s="3" t="s">
        <v>79</v>
      </c>
      <c r="D5" s="7">
        <f>IFERROR(SUMIFS(ENTRADASOF[CANTIDAD],ENTRADASOF[DESCRIPCIÓN],INVENTARIOOFICINA[[#This Row],[DESCRIPCIÓN ]],ENTRADASOF[LOTE],INVENTARIOOFICINA[[#This Row],[LOTE]]),"-")</f>
        <v>1</v>
      </c>
      <c r="E5" s="7">
        <f>IFERROR(SUMIFS(SALIDASOF[CANTIDAD],SALIDASOF[DESCRIPCIÓN],INVENTARIOOFICINA[[#This Row],[DESCRIPCIÓN ]],SALIDASOF[LOTE],INVENTARIOOFICINA[[#This Row],[LOTE]]),"-")</f>
        <v>0</v>
      </c>
      <c r="F5" s="19">
        <f>INVENTARIOOFICINA[[#This Row],[ENTRADAS]]-INVENTARIOOFICINA[[#This Row],[SALIDAS]]</f>
        <v>1</v>
      </c>
      <c r="G5" s="3"/>
      <c r="H5" s="14">
        <f>INVENTARIOOFICINA[[#This Row],[PRECIO UNITARIO ]]*INVENTARIOOFICINA[[#This Row],[STOCK ACTUAL ]]</f>
        <v>0</v>
      </c>
    </row>
    <row r="6" spans="1:9" ht="16" x14ac:dyDescent="0.2">
      <c r="A6" s="2" t="s">
        <v>631</v>
      </c>
      <c r="B6" s="2" t="s">
        <v>459</v>
      </c>
      <c r="C6" s="3" t="s">
        <v>465</v>
      </c>
      <c r="D6" s="15">
        <f>IFERROR(SUMIFS(ENTRADASOF[CANTIDAD],ENTRADASOF[DESCRIPCIÓN],INVENTARIOOFICINA[[#This Row],[DESCRIPCIÓN ]],ENTRADASOF[LOTE],INVENTARIOOFICINA[[#This Row],[LOTE]]),"-")</f>
        <v>1</v>
      </c>
      <c r="E6" s="15">
        <f>IFERROR(SUMIFS(SALIDASOF[CANTIDAD],SALIDASOF[DESCRIPCIÓN],INVENTARIOOFICINA[[#This Row],[DESCRIPCIÓN ]],SALIDASOF[LOTE],INVENTARIOOFICINA[[#This Row],[LOTE]]),"-")</f>
        <v>0</v>
      </c>
      <c r="F6" s="20">
        <f>INVENTARIOOFICINA[[#This Row],[ENTRADAS]]-INVENTARIOOFICINA[[#This Row],[SALIDAS]]</f>
        <v>1</v>
      </c>
      <c r="H6" s="14">
        <f>INVENTARIOOFICINA[[#This Row],[PRECIO UNITARIO ]]*INVENTARIOOFICINA[[#This Row],[STOCK ACTUAL ]]</f>
        <v>0</v>
      </c>
    </row>
    <row r="7" spans="1:9" x14ac:dyDescent="0.2">
      <c r="A7" s="3" t="s">
        <v>632</v>
      </c>
      <c r="B7" s="12" t="s">
        <v>323</v>
      </c>
      <c r="C7" s="3" t="s">
        <v>85</v>
      </c>
      <c r="D7" s="7">
        <f>IFERROR(SUMIFS(ENTRADASOF[CANTIDAD],ENTRADASOF[DESCRIPCIÓN],INVENTARIOOFICINA[[#This Row],[DESCRIPCIÓN ]],ENTRADASOF[LOTE],INVENTARIOOFICINA[[#This Row],[LOTE]]),"-")</f>
        <v>1</v>
      </c>
      <c r="E7" s="7">
        <f>IFERROR(SUMIFS(SALIDASOF[CANTIDAD],SALIDASOF[DESCRIPCIÓN],INVENTARIOOFICINA[[#This Row],[DESCRIPCIÓN ]],SALIDASOF[LOTE],INVENTARIOOFICINA[[#This Row],[LOTE]]),"-")</f>
        <v>0</v>
      </c>
      <c r="F7" s="19">
        <f>INVENTARIOOFICINA[[#This Row],[ENTRADAS]]-INVENTARIOOFICINA[[#This Row],[SALIDAS]]</f>
        <v>1</v>
      </c>
      <c r="G7" s="3"/>
      <c r="H7" s="14">
        <f>INVENTARIOOFICINA[[#This Row],[PRECIO UNITARIO ]]*INVENTARIOOFICINA[[#This Row],[STOCK ACTUAL ]]</f>
        <v>0</v>
      </c>
    </row>
    <row r="8" spans="1:9" ht="16" x14ac:dyDescent="0.2">
      <c r="A8" s="2" t="s">
        <v>633</v>
      </c>
      <c r="B8" s="2" t="s">
        <v>407</v>
      </c>
      <c r="C8" s="3" t="s">
        <v>283</v>
      </c>
      <c r="D8" s="15">
        <f>IFERROR(SUMIFS(ENTRADASOF[CANTIDAD],ENTRADASOF[DESCRIPCIÓN],INVENTARIOOFICINA[[#This Row],[DESCRIPCIÓN ]],ENTRADASOF[LOTE],INVENTARIOOFICINA[[#This Row],[LOTE]]),"-")</f>
        <v>4</v>
      </c>
      <c r="E8" s="15">
        <f>IFERROR(SUMIFS(SALIDASOF[CANTIDAD],SALIDASOF[DESCRIPCIÓN],INVENTARIOOFICINA[[#This Row],[DESCRIPCIÓN ]],SALIDASOF[LOTE],INVENTARIOOFICINA[[#This Row],[LOTE]]),"-")</f>
        <v>0</v>
      </c>
      <c r="F8" s="20">
        <f>INVENTARIOOFICINA[[#This Row],[ENTRADAS]]-INVENTARIOOFICINA[[#This Row],[SALIDAS]]</f>
        <v>4</v>
      </c>
      <c r="H8" s="14">
        <f>INVENTARIOOFICINA[[#This Row],[PRECIO UNITARIO ]]*INVENTARIOOFICINA[[#This Row],[STOCK ACTUAL ]]</f>
        <v>0</v>
      </c>
    </row>
    <row r="9" spans="1:9" ht="16" x14ac:dyDescent="0.2">
      <c r="A9" s="2" t="s">
        <v>634</v>
      </c>
      <c r="B9" s="2" t="s">
        <v>431</v>
      </c>
      <c r="C9" s="3" t="s">
        <v>470</v>
      </c>
      <c r="D9" s="15">
        <f>IFERROR(SUMIFS(ENTRADASOF[CANTIDAD],ENTRADASOF[DESCRIPCIÓN],INVENTARIOOFICINA[[#This Row],[DESCRIPCIÓN ]],ENTRADASOF[LOTE],INVENTARIOOFICINA[[#This Row],[LOTE]]),"-")</f>
        <v>2</v>
      </c>
      <c r="E9" s="15">
        <f>IFERROR(SUMIFS(SALIDASOF[CANTIDAD],SALIDASOF[DESCRIPCIÓN],INVENTARIOOFICINA[[#This Row],[DESCRIPCIÓN ]],SALIDASOF[LOTE],INVENTARIOOFICINA[[#This Row],[LOTE]]),"-")</f>
        <v>0</v>
      </c>
      <c r="F9" s="20">
        <f>INVENTARIOOFICINA[[#This Row],[ENTRADAS]]-INVENTARIOOFICINA[[#This Row],[SALIDAS]]</f>
        <v>2</v>
      </c>
      <c r="H9" s="14">
        <f>INVENTARIOOFICINA[[#This Row],[PRECIO UNITARIO ]]*INVENTARIOOFICINA[[#This Row],[STOCK ACTUAL ]]</f>
        <v>0</v>
      </c>
    </row>
    <row r="10" spans="1:9" ht="16" x14ac:dyDescent="0.2">
      <c r="A10" s="2" t="s">
        <v>635</v>
      </c>
      <c r="B10" s="2" t="s">
        <v>408</v>
      </c>
      <c r="C10" s="3" t="s">
        <v>283</v>
      </c>
      <c r="D10" s="15">
        <f>IFERROR(SUMIFS(ENTRADASOF[CANTIDAD],ENTRADASOF[DESCRIPCIÓN],INVENTARIOOFICINA[[#This Row],[DESCRIPCIÓN ]],ENTRADASOF[LOTE],INVENTARIOOFICINA[[#This Row],[LOTE]]),"-")</f>
        <v>1</v>
      </c>
      <c r="E10" s="15">
        <f>IFERROR(SUMIFS(SALIDASOF[CANTIDAD],SALIDASOF[DESCRIPCIÓN],INVENTARIOOFICINA[[#This Row],[DESCRIPCIÓN ]],SALIDASOF[LOTE],INVENTARIOOFICINA[[#This Row],[LOTE]]),"-")</f>
        <v>0</v>
      </c>
      <c r="F10" s="20">
        <f>INVENTARIOOFICINA[[#This Row],[ENTRADAS]]-INVENTARIOOFICINA[[#This Row],[SALIDAS]]</f>
        <v>1</v>
      </c>
      <c r="H10" s="14">
        <f>INVENTARIOOFICINA[[#This Row],[PRECIO UNITARIO ]]*INVENTARIOOFICINA[[#This Row],[STOCK ACTUAL ]]</f>
        <v>0</v>
      </c>
    </row>
    <row r="11" spans="1:9" x14ac:dyDescent="0.2">
      <c r="A11" s="3" t="s">
        <v>636</v>
      </c>
      <c r="B11" s="12" t="s">
        <v>379</v>
      </c>
      <c r="C11" s="3" t="s">
        <v>154</v>
      </c>
      <c r="D11" s="7">
        <f>IFERROR(SUMIFS(ENTRADASOF[CANTIDAD],ENTRADASOF[DESCRIPCIÓN],INVENTARIOOFICINA[[#This Row],[DESCRIPCIÓN ]],ENTRADASOF[LOTE],INVENTARIOOFICINA[[#This Row],[LOTE]]),"-")</f>
        <v>1</v>
      </c>
      <c r="E11" s="7">
        <f>IFERROR(SUMIFS(SALIDASOF[CANTIDAD],SALIDASOF[DESCRIPCIÓN],INVENTARIOOFICINA[[#This Row],[DESCRIPCIÓN ]],SALIDASOF[LOTE],INVENTARIOOFICINA[[#This Row],[LOTE]]),"-")</f>
        <v>1</v>
      </c>
      <c r="F11" s="19">
        <f>INVENTARIOOFICINA[[#This Row],[ENTRADAS]]-INVENTARIOOFICINA[[#This Row],[SALIDAS]]</f>
        <v>0</v>
      </c>
      <c r="G11" s="3"/>
      <c r="H11" s="14">
        <f>INVENTARIOOFICINA[[#This Row],[PRECIO UNITARIO ]]*INVENTARIOOFICINA[[#This Row],[STOCK ACTUAL ]]</f>
        <v>0</v>
      </c>
    </row>
    <row r="12" spans="1:9" ht="16" x14ac:dyDescent="0.2">
      <c r="A12" s="2" t="s">
        <v>637</v>
      </c>
      <c r="B12" s="2" t="s">
        <v>395</v>
      </c>
      <c r="C12" s="3" t="s">
        <v>154</v>
      </c>
      <c r="D12" s="15">
        <f>IFERROR(SUMIFS(ENTRADASOF[CANTIDAD],ENTRADASOF[DESCRIPCIÓN],INVENTARIOOFICINA[[#This Row],[DESCRIPCIÓN ]],ENTRADASOF[LOTE],INVENTARIOOFICINA[[#This Row],[LOTE]]),"-")</f>
        <v>1</v>
      </c>
      <c r="E12" s="15">
        <f>IFERROR(SUMIFS(SALIDASOF[CANTIDAD],SALIDASOF[DESCRIPCIÓN],INVENTARIOOFICINA[[#This Row],[DESCRIPCIÓN ]],SALIDASOF[LOTE],INVENTARIOOFICINA[[#This Row],[LOTE]]),"-")</f>
        <v>0</v>
      </c>
      <c r="F12" s="20">
        <f>INVENTARIOOFICINA[[#This Row],[ENTRADAS]]-INVENTARIOOFICINA[[#This Row],[SALIDAS]]</f>
        <v>1</v>
      </c>
      <c r="H12" s="14">
        <f>INVENTARIOOFICINA[[#This Row],[PRECIO UNITARIO ]]*INVENTARIOOFICINA[[#This Row],[STOCK ACTUAL ]]</f>
        <v>0</v>
      </c>
    </row>
    <row r="13" spans="1:9" x14ac:dyDescent="0.2">
      <c r="A13" s="3" t="s">
        <v>638</v>
      </c>
      <c r="B13" s="12" t="s">
        <v>360</v>
      </c>
      <c r="C13" s="3" t="s">
        <v>146</v>
      </c>
      <c r="D13" s="7">
        <f>IFERROR(SUMIFS(ENTRADASOF[CANTIDAD],ENTRADASOF[DESCRIPCIÓN],INVENTARIOOFICINA[[#This Row],[DESCRIPCIÓN ]],ENTRADASOF[LOTE],INVENTARIOOFICINA[[#This Row],[LOTE]]),"-")</f>
        <v>2</v>
      </c>
      <c r="E13" s="7">
        <f>IFERROR(SUMIFS(SALIDASOF[CANTIDAD],SALIDASOF[DESCRIPCIÓN],INVENTARIOOFICINA[[#This Row],[DESCRIPCIÓN ]],SALIDASOF[LOTE],INVENTARIOOFICINA[[#This Row],[LOTE]]),"-")</f>
        <v>0</v>
      </c>
      <c r="F13" s="19">
        <f>INVENTARIOOFICINA[[#This Row],[ENTRADAS]]-INVENTARIOOFICINA[[#This Row],[SALIDAS]]</f>
        <v>2</v>
      </c>
      <c r="G13" s="3"/>
      <c r="H13" s="14">
        <f>INVENTARIOOFICINA[[#This Row],[PRECIO UNITARIO ]]*INVENTARIOOFICINA[[#This Row],[STOCK ACTUAL ]]</f>
        <v>0</v>
      </c>
    </row>
    <row r="14" spans="1:9" ht="16" x14ac:dyDescent="0.2">
      <c r="A14" s="2" t="s">
        <v>639</v>
      </c>
      <c r="B14" s="2" t="s">
        <v>397</v>
      </c>
      <c r="C14" s="3" t="s">
        <v>146</v>
      </c>
      <c r="D14" s="15">
        <f>IFERROR(SUMIFS(ENTRADASOF[CANTIDAD],ENTRADASOF[DESCRIPCIÓN],INVENTARIOOFICINA[[#This Row],[DESCRIPCIÓN ]],ENTRADASOF[LOTE],INVENTARIOOFICINA[[#This Row],[LOTE]]),"-")</f>
        <v>2</v>
      </c>
      <c r="E14" s="15">
        <f>IFERROR(SUMIFS(SALIDASOF[CANTIDAD],SALIDASOF[DESCRIPCIÓN],INVENTARIOOFICINA[[#This Row],[DESCRIPCIÓN ]],SALIDASOF[LOTE],INVENTARIOOFICINA[[#This Row],[LOTE]]),"-")</f>
        <v>0</v>
      </c>
      <c r="F14" s="20">
        <f>INVENTARIOOFICINA[[#This Row],[ENTRADAS]]-INVENTARIOOFICINA[[#This Row],[SALIDAS]]</f>
        <v>2</v>
      </c>
      <c r="H14" s="14">
        <f>INVENTARIOOFICINA[[#This Row],[PRECIO UNITARIO ]]*INVENTARIOOFICINA[[#This Row],[STOCK ACTUAL ]]</f>
        <v>0</v>
      </c>
    </row>
    <row r="15" spans="1:9" x14ac:dyDescent="0.2">
      <c r="A15" s="3" t="s">
        <v>640</v>
      </c>
      <c r="B15" s="12" t="s">
        <v>359</v>
      </c>
      <c r="C15" s="3" t="s">
        <v>146</v>
      </c>
      <c r="D15" s="7">
        <f>IFERROR(SUMIFS(ENTRADASOF[CANTIDAD],ENTRADASOF[DESCRIPCIÓN],INVENTARIOOFICINA[[#This Row],[DESCRIPCIÓN ]],ENTRADASOF[LOTE],INVENTARIOOFICINA[[#This Row],[LOTE]]),"-")</f>
        <v>6</v>
      </c>
      <c r="E15" s="7">
        <f>IFERROR(SUMIFS(SALIDASOF[CANTIDAD],SALIDASOF[DESCRIPCIÓN],INVENTARIOOFICINA[[#This Row],[DESCRIPCIÓN ]],SALIDASOF[LOTE],INVENTARIOOFICINA[[#This Row],[LOTE]]),"-")</f>
        <v>3</v>
      </c>
      <c r="F15" s="19">
        <f>INVENTARIOOFICINA[[#This Row],[ENTRADAS]]-INVENTARIOOFICINA[[#This Row],[SALIDAS]]</f>
        <v>3</v>
      </c>
      <c r="G15" s="3"/>
      <c r="H15" s="14">
        <f>INVENTARIOOFICINA[[#This Row],[PRECIO UNITARIO ]]*INVENTARIOOFICINA[[#This Row],[STOCK ACTUAL ]]</f>
        <v>0</v>
      </c>
    </row>
    <row r="16" spans="1:9" ht="16" x14ac:dyDescent="0.2">
      <c r="A16" s="2" t="s">
        <v>641</v>
      </c>
      <c r="B16" s="2" t="s">
        <v>445</v>
      </c>
      <c r="C16" s="3" t="s">
        <v>475</v>
      </c>
      <c r="D16" s="15">
        <f>IFERROR(SUMIFS(ENTRADASOF[CANTIDAD],ENTRADASOF[DESCRIPCIÓN],INVENTARIOOFICINA[[#This Row],[DESCRIPCIÓN ]],ENTRADASOF[LOTE],INVENTARIOOFICINA[[#This Row],[LOTE]]),"-")</f>
        <v>2</v>
      </c>
      <c r="E16" s="15">
        <f>IFERROR(SUMIFS(SALIDASOF[CANTIDAD],SALIDASOF[DESCRIPCIÓN],INVENTARIOOFICINA[[#This Row],[DESCRIPCIÓN ]],SALIDASOF[LOTE],INVENTARIOOFICINA[[#This Row],[LOTE]]),"-")</f>
        <v>0</v>
      </c>
      <c r="F16" s="20">
        <f>INVENTARIOOFICINA[[#This Row],[ENTRADAS]]-INVENTARIOOFICINA[[#This Row],[SALIDAS]]</f>
        <v>2</v>
      </c>
      <c r="H16" s="14">
        <f>INVENTARIOOFICINA[[#This Row],[PRECIO UNITARIO ]]*INVENTARIOOFICINA[[#This Row],[STOCK ACTUAL ]]</f>
        <v>0</v>
      </c>
    </row>
    <row r="17" spans="1:8" ht="16" x14ac:dyDescent="0.2">
      <c r="A17" s="2" t="s">
        <v>642</v>
      </c>
      <c r="B17" s="2" t="s">
        <v>444</v>
      </c>
      <c r="C17" s="3" t="s">
        <v>475</v>
      </c>
      <c r="D17" s="15">
        <f>IFERROR(SUMIFS(ENTRADASOF[CANTIDAD],ENTRADASOF[DESCRIPCIÓN],INVENTARIOOFICINA[[#This Row],[DESCRIPCIÓN ]],ENTRADASOF[LOTE],INVENTARIOOFICINA[[#This Row],[LOTE]]),"-")</f>
        <v>2</v>
      </c>
      <c r="E17" s="15">
        <f>IFERROR(SUMIFS(SALIDASOF[CANTIDAD],SALIDASOF[DESCRIPCIÓN],INVENTARIOOFICINA[[#This Row],[DESCRIPCIÓN ]],SALIDASOF[LOTE],INVENTARIOOFICINA[[#This Row],[LOTE]]),"-")</f>
        <v>0</v>
      </c>
      <c r="F17" s="20">
        <f>INVENTARIOOFICINA[[#This Row],[ENTRADAS]]-INVENTARIOOFICINA[[#This Row],[SALIDAS]]</f>
        <v>2</v>
      </c>
      <c r="H17" s="14">
        <f>INVENTARIOOFICINA[[#This Row],[PRECIO UNITARIO ]]*INVENTARIOOFICINA[[#This Row],[STOCK ACTUAL ]]</f>
        <v>0</v>
      </c>
    </row>
    <row r="18" spans="1:8" x14ac:dyDescent="0.2">
      <c r="A18" s="3" t="s">
        <v>643</v>
      </c>
      <c r="B18" s="12" t="s">
        <v>23</v>
      </c>
      <c r="C18" s="3" t="s">
        <v>82</v>
      </c>
      <c r="D18" s="7">
        <f>IFERROR(SUMIFS(ENTRADASOF[CANTIDAD],ENTRADASOF[DESCRIPCIÓN],INVENTARIOOFICINA[[#This Row],[DESCRIPCIÓN ]],ENTRADASOF[LOTE],INVENTARIOOFICINA[[#This Row],[LOTE]]),"-")</f>
        <v>2</v>
      </c>
      <c r="E18" s="7">
        <f>IFERROR(SUMIFS(SALIDASOF[CANTIDAD],SALIDASOF[DESCRIPCIÓN],INVENTARIOOFICINA[[#This Row],[DESCRIPCIÓN ]],SALIDASOF[LOTE],INVENTARIOOFICINA[[#This Row],[LOTE]]),"-")</f>
        <v>4</v>
      </c>
      <c r="F18" s="19">
        <f>INVENTARIOOFICINA[[#This Row],[ENTRADAS]]-INVENTARIOOFICINA[[#This Row],[SALIDAS]]</f>
        <v>-2</v>
      </c>
      <c r="G18" s="3"/>
      <c r="H18" s="14">
        <f>INVENTARIOOFICINA[[#This Row],[PRECIO UNITARIO ]]*INVENTARIOOFICINA[[#This Row],[STOCK ACTUAL ]]</f>
        <v>0</v>
      </c>
    </row>
    <row r="19" spans="1:8" ht="16" x14ac:dyDescent="0.2">
      <c r="A19" s="2" t="s">
        <v>644</v>
      </c>
      <c r="B19" s="3" t="s">
        <v>461</v>
      </c>
      <c r="C19" s="3" t="s">
        <v>13</v>
      </c>
      <c r="D19" s="15">
        <f>IFERROR(SUMIFS(ENTRADASOF[CANTIDAD],ENTRADASOF[DESCRIPCIÓN],INVENTARIOOFICINA[[#This Row],[DESCRIPCIÓN ]],ENTRADASOF[LOTE],INVENTARIOOFICINA[[#This Row],[LOTE]]),"-")</f>
        <v>4</v>
      </c>
      <c r="E19" s="15">
        <f>IFERROR(SUMIFS(SALIDASOF[CANTIDAD],SALIDASOF[DESCRIPCIÓN],INVENTARIOOFICINA[[#This Row],[DESCRIPCIÓN ]],SALIDASOF[LOTE],INVENTARIOOFICINA[[#This Row],[LOTE]]),"-")</f>
        <v>0</v>
      </c>
      <c r="F19" s="20">
        <f>INVENTARIOOFICINA[[#This Row],[ENTRADAS]]-INVENTARIOOFICINA[[#This Row],[SALIDAS]]</f>
        <v>4</v>
      </c>
      <c r="H19" s="14">
        <f>INVENTARIOOFICINA[[#This Row],[PRECIO UNITARIO ]]*INVENTARIOOFICINA[[#This Row],[STOCK ACTUAL ]]</f>
        <v>0</v>
      </c>
    </row>
    <row r="20" spans="1:8" x14ac:dyDescent="0.2">
      <c r="A20" s="3" t="s">
        <v>645</v>
      </c>
      <c r="B20" s="12" t="s">
        <v>336</v>
      </c>
      <c r="C20" s="3" t="s">
        <v>90</v>
      </c>
      <c r="D20" s="7">
        <f>IFERROR(SUMIFS(ENTRADASOF[CANTIDAD],ENTRADASOF[DESCRIPCIÓN],INVENTARIOOFICINA[[#This Row],[DESCRIPCIÓN ]],ENTRADASOF[LOTE],INVENTARIOOFICINA[[#This Row],[LOTE]]),"-")</f>
        <v>6</v>
      </c>
      <c r="E20" s="7">
        <f>IFERROR(SUMIFS(SALIDASOF[CANTIDAD],SALIDASOF[DESCRIPCIÓN],INVENTARIOOFICINA[[#This Row],[DESCRIPCIÓN ]],SALIDASOF[LOTE],INVENTARIOOFICINA[[#This Row],[LOTE]]),"-")</f>
        <v>0</v>
      </c>
      <c r="F20" s="19">
        <f>INVENTARIOOFICINA[[#This Row],[ENTRADAS]]-INVENTARIOOFICINA[[#This Row],[SALIDAS]]</f>
        <v>6</v>
      </c>
      <c r="G20" s="3"/>
      <c r="H20" s="14">
        <f>INVENTARIOOFICINA[[#This Row],[PRECIO UNITARIO ]]*INVENTARIOOFICINA[[#This Row],[STOCK ACTUAL ]]</f>
        <v>0</v>
      </c>
    </row>
    <row r="21" spans="1:8" ht="16" x14ac:dyDescent="0.2">
      <c r="A21" s="2" t="s">
        <v>646</v>
      </c>
      <c r="B21" s="2" t="s">
        <v>399</v>
      </c>
      <c r="C21" s="3" t="s">
        <v>90</v>
      </c>
      <c r="D21" s="15">
        <f>IFERROR(SUMIFS(ENTRADASOF[CANTIDAD],ENTRADASOF[DESCRIPCIÓN],INVENTARIOOFICINA[[#This Row],[DESCRIPCIÓN ]],ENTRADASOF[LOTE],INVENTARIOOFICINA[[#This Row],[LOTE]]),"-")</f>
        <v>1</v>
      </c>
      <c r="E21" s="15">
        <f>IFERROR(SUMIFS(SALIDASOF[CANTIDAD],SALIDASOF[DESCRIPCIÓN],INVENTARIOOFICINA[[#This Row],[DESCRIPCIÓN ]],SALIDASOF[LOTE],INVENTARIOOFICINA[[#This Row],[LOTE]]),"-")</f>
        <v>0</v>
      </c>
      <c r="F21" s="20">
        <f>INVENTARIOOFICINA[[#This Row],[ENTRADAS]]-INVENTARIOOFICINA[[#This Row],[SALIDAS]]</f>
        <v>1</v>
      </c>
      <c r="H21" s="14">
        <f>INVENTARIOOFICINA[[#This Row],[PRECIO UNITARIO ]]*INVENTARIOOFICINA[[#This Row],[STOCK ACTUAL ]]</f>
        <v>0</v>
      </c>
    </row>
    <row r="22" spans="1:8" ht="16" x14ac:dyDescent="0.2">
      <c r="A22" s="2" t="s">
        <v>647</v>
      </c>
      <c r="B22" s="2" t="s">
        <v>433</v>
      </c>
      <c r="C22" s="3" t="s">
        <v>90</v>
      </c>
      <c r="D22" s="15">
        <f>IFERROR(SUMIFS(ENTRADASOF[CANTIDAD],ENTRADASOF[DESCRIPCIÓN],INVENTARIOOFICINA[[#This Row],[DESCRIPCIÓN ]],ENTRADASOF[LOTE],INVENTARIOOFICINA[[#This Row],[LOTE]]),"-")</f>
        <v>1</v>
      </c>
      <c r="E22" s="15">
        <f>IFERROR(SUMIFS(SALIDASOF[CANTIDAD],SALIDASOF[DESCRIPCIÓN],INVENTARIOOFICINA[[#This Row],[DESCRIPCIÓN ]],SALIDASOF[LOTE],INVENTARIOOFICINA[[#This Row],[LOTE]]),"-")</f>
        <v>0</v>
      </c>
      <c r="F22" s="20">
        <f>INVENTARIOOFICINA[[#This Row],[ENTRADAS]]-INVENTARIOOFICINA[[#This Row],[SALIDAS]]</f>
        <v>1</v>
      </c>
      <c r="H22" s="14">
        <f>INVENTARIOOFICINA[[#This Row],[PRECIO UNITARIO ]]*INVENTARIOOFICINA[[#This Row],[STOCK ACTUAL ]]</f>
        <v>0</v>
      </c>
    </row>
    <row r="23" spans="1:8" x14ac:dyDescent="0.2">
      <c r="A23" s="3" t="s">
        <v>648</v>
      </c>
      <c r="B23" s="12" t="s">
        <v>112</v>
      </c>
      <c r="C23" s="3" t="s">
        <v>90</v>
      </c>
      <c r="D23" s="7">
        <f>IFERROR(SUMIFS(ENTRADASOF[CANTIDAD],ENTRADASOF[DESCRIPCIÓN],INVENTARIOOFICINA[[#This Row],[DESCRIPCIÓN ]],ENTRADASOF[LOTE],INVENTARIOOFICINA[[#This Row],[LOTE]]),"-")</f>
        <v>3</v>
      </c>
      <c r="E23" s="7">
        <f>IFERROR(SUMIFS(SALIDASOF[CANTIDAD],SALIDASOF[DESCRIPCIÓN],INVENTARIOOFICINA[[#This Row],[DESCRIPCIÓN ]],SALIDASOF[LOTE],INVENTARIOOFICINA[[#This Row],[LOTE]]),"-")</f>
        <v>0</v>
      </c>
      <c r="F23" s="19">
        <f>INVENTARIOOFICINA[[#This Row],[ENTRADAS]]-INVENTARIOOFICINA[[#This Row],[SALIDAS]]</f>
        <v>3</v>
      </c>
      <c r="G23" s="3"/>
      <c r="H23" s="14">
        <f>INVENTARIOOFICINA[[#This Row],[PRECIO UNITARIO ]]*INVENTARIOOFICINA[[#This Row],[STOCK ACTUAL ]]</f>
        <v>0</v>
      </c>
    </row>
    <row r="24" spans="1:8" x14ac:dyDescent="0.2">
      <c r="A24" s="3" t="s">
        <v>649</v>
      </c>
      <c r="B24" s="12" t="s">
        <v>375</v>
      </c>
      <c r="C24" s="3" t="s">
        <v>90</v>
      </c>
      <c r="D24" s="7">
        <f>IFERROR(SUMIFS(ENTRADASOF[CANTIDAD],ENTRADASOF[DESCRIPCIÓN],INVENTARIOOFICINA[[#This Row],[DESCRIPCIÓN ]],ENTRADASOF[LOTE],INVENTARIOOFICINA[[#This Row],[LOTE]]),"-")</f>
        <v>22</v>
      </c>
      <c r="E24" s="7">
        <f>IFERROR(SUMIFS(SALIDASOF[CANTIDAD],SALIDASOF[DESCRIPCIÓN],INVENTARIOOFICINA[[#This Row],[DESCRIPCIÓN ]],SALIDASOF[LOTE],INVENTARIOOFICINA[[#This Row],[LOTE]]),"-")</f>
        <v>0</v>
      </c>
      <c r="F24" s="19">
        <f>INVENTARIOOFICINA[[#This Row],[ENTRADAS]]-INVENTARIOOFICINA[[#This Row],[SALIDAS]]</f>
        <v>22</v>
      </c>
      <c r="G24" s="3"/>
      <c r="H24" s="14">
        <f>INVENTARIOOFICINA[[#This Row],[PRECIO UNITARIO ]]*INVENTARIOOFICINA[[#This Row],[STOCK ACTUAL ]]</f>
        <v>0</v>
      </c>
    </row>
    <row r="25" spans="1:8" x14ac:dyDescent="0.2">
      <c r="A25" s="3" t="s">
        <v>650</v>
      </c>
      <c r="B25" s="12" t="s">
        <v>338</v>
      </c>
      <c r="C25" s="3" t="s">
        <v>89</v>
      </c>
      <c r="D25" s="7">
        <f>IFERROR(SUMIFS(ENTRADASOF[CANTIDAD],ENTRADASOF[DESCRIPCIÓN],INVENTARIOOFICINA[[#This Row],[DESCRIPCIÓN ]],ENTRADASOF[LOTE],INVENTARIOOFICINA[[#This Row],[LOTE]]),"-")</f>
        <v>2</v>
      </c>
      <c r="E25" s="7">
        <f>IFERROR(SUMIFS(SALIDASOF[CANTIDAD],SALIDASOF[DESCRIPCIÓN],INVENTARIOOFICINA[[#This Row],[DESCRIPCIÓN ]],SALIDASOF[LOTE],INVENTARIOOFICINA[[#This Row],[LOTE]]),"-")</f>
        <v>0</v>
      </c>
      <c r="F25" s="19">
        <f>INVENTARIOOFICINA[[#This Row],[ENTRADAS]]-INVENTARIOOFICINA[[#This Row],[SALIDAS]]</f>
        <v>2</v>
      </c>
      <c r="G25" s="3"/>
      <c r="H25" s="14">
        <f>INVENTARIOOFICINA[[#This Row],[PRECIO UNITARIO ]]*INVENTARIOOFICINA[[#This Row],[STOCK ACTUAL ]]</f>
        <v>0</v>
      </c>
    </row>
    <row r="26" spans="1:8" x14ac:dyDescent="0.2">
      <c r="A26" s="3" t="s">
        <v>651</v>
      </c>
      <c r="B26" s="12" t="s">
        <v>352</v>
      </c>
      <c r="C26" s="3" t="s">
        <v>93</v>
      </c>
      <c r="D26" s="7">
        <f>IFERROR(SUMIFS(ENTRADASOF[CANTIDAD],ENTRADASOF[DESCRIPCIÓN],INVENTARIOOFICINA[[#This Row],[DESCRIPCIÓN ]],ENTRADASOF[LOTE],INVENTARIOOFICINA[[#This Row],[LOTE]]),"-")</f>
        <v>2</v>
      </c>
      <c r="E26" s="7">
        <f>IFERROR(SUMIFS(SALIDASOF[CANTIDAD],SALIDASOF[DESCRIPCIÓN],INVENTARIOOFICINA[[#This Row],[DESCRIPCIÓN ]],SALIDASOF[LOTE],INVENTARIOOFICINA[[#This Row],[LOTE]]),"-")</f>
        <v>0</v>
      </c>
      <c r="F26" s="19">
        <f>INVENTARIOOFICINA[[#This Row],[ENTRADAS]]-INVENTARIOOFICINA[[#This Row],[SALIDAS]]</f>
        <v>2</v>
      </c>
      <c r="G26" s="3"/>
      <c r="H26" s="14">
        <f>INVENTARIOOFICINA[[#This Row],[PRECIO UNITARIO ]]*INVENTARIOOFICINA[[#This Row],[STOCK ACTUAL ]]</f>
        <v>0</v>
      </c>
    </row>
    <row r="27" spans="1:8" x14ac:dyDescent="0.2">
      <c r="A27" s="3" t="s">
        <v>652</v>
      </c>
      <c r="B27" s="12" t="s">
        <v>354</v>
      </c>
      <c r="C27" s="3" t="s">
        <v>93</v>
      </c>
      <c r="D27" s="7">
        <f>IFERROR(SUMIFS(ENTRADASOF[CANTIDAD],ENTRADASOF[DESCRIPCIÓN],INVENTARIOOFICINA[[#This Row],[DESCRIPCIÓN ]],ENTRADASOF[LOTE],INVENTARIOOFICINA[[#This Row],[LOTE]]),"-")</f>
        <v>2</v>
      </c>
      <c r="E27" s="7">
        <f>IFERROR(SUMIFS(SALIDASOF[CANTIDAD],SALIDASOF[DESCRIPCIÓN],INVENTARIOOFICINA[[#This Row],[DESCRIPCIÓN ]],SALIDASOF[LOTE],INVENTARIOOFICINA[[#This Row],[LOTE]]),"-")</f>
        <v>0</v>
      </c>
      <c r="F27" s="19">
        <f>INVENTARIOOFICINA[[#This Row],[ENTRADAS]]-INVENTARIOOFICINA[[#This Row],[SALIDAS]]</f>
        <v>2</v>
      </c>
      <c r="G27" s="3"/>
      <c r="H27" s="14">
        <f>INVENTARIOOFICINA[[#This Row],[PRECIO UNITARIO ]]*INVENTARIOOFICINA[[#This Row],[STOCK ACTUAL ]]</f>
        <v>0</v>
      </c>
    </row>
    <row r="28" spans="1:8" x14ac:dyDescent="0.2">
      <c r="A28" s="3" t="s">
        <v>653</v>
      </c>
      <c r="B28" s="12" t="s">
        <v>353</v>
      </c>
      <c r="C28" s="3" t="s">
        <v>93</v>
      </c>
      <c r="D28" s="7">
        <f>IFERROR(SUMIFS(ENTRADASOF[CANTIDAD],ENTRADASOF[DESCRIPCIÓN],INVENTARIOOFICINA[[#This Row],[DESCRIPCIÓN ]],ENTRADASOF[LOTE],INVENTARIOOFICINA[[#This Row],[LOTE]]),"-")</f>
        <v>3</v>
      </c>
      <c r="E28" s="7">
        <f>IFERROR(SUMIFS(SALIDASOF[CANTIDAD],SALIDASOF[DESCRIPCIÓN],INVENTARIOOFICINA[[#This Row],[DESCRIPCIÓN ]],SALIDASOF[LOTE],INVENTARIOOFICINA[[#This Row],[LOTE]]),"-")</f>
        <v>0</v>
      </c>
      <c r="F28" s="19">
        <f>INVENTARIOOFICINA[[#This Row],[ENTRADAS]]-INVENTARIOOFICINA[[#This Row],[SALIDAS]]</f>
        <v>3</v>
      </c>
      <c r="G28" s="3"/>
      <c r="H28" s="14">
        <f>INVENTARIOOFICINA[[#This Row],[PRECIO UNITARIO ]]*INVENTARIOOFICINA[[#This Row],[STOCK ACTUAL ]]</f>
        <v>0</v>
      </c>
    </row>
    <row r="29" spans="1:8" x14ac:dyDescent="0.2">
      <c r="A29" s="3" t="s">
        <v>654</v>
      </c>
      <c r="B29" s="12" t="s">
        <v>377</v>
      </c>
      <c r="C29" s="3" t="s">
        <v>152</v>
      </c>
      <c r="D29" s="7">
        <f>IFERROR(SUMIFS(ENTRADASOF[CANTIDAD],ENTRADASOF[DESCRIPCIÓN],INVENTARIOOFICINA[[#This Row],[DESCRIPCIÓN ]],ENTRADASOF[LOTE],INVENTARIOOFICINA[[#This Row],[LOTE]]),"-")</f>
        <v>1</v>
      </c>
      <c r="E29" s="7">
        <f>IFERROR(SUMIFS(SALIDASOF[CANTIDAD],SALIDASOF[DESCRIPCIÓN],INVENTARIOOFICINA[[#This Row],[DESCRIPCIÓN ]],SALIDASOF[LOTE],INVENTARIOOFICINA[[#This Row],[LOTE]]),"-")</f>
        <v>0</v>
      </c>
      <c r="F29" s="19">
        <f>INVENTARIOOFICINA[[#This Row],[ENTRADAS]]-INVENTARIOOFICINA[[#This Row],[SALIDAS]]</f>
        <v>1</v>
      </c>
      <c r="G29" s="3"/>
      <c r="H29" s="14">
        <f>INVENTARIOOFICINA[[#This Row],[PRECIO UNITARIO ]]*INVENTARIOOFICINA[[#This Row],[STOCK ACTUAL ]]</f>
        <v>0</v>
      </c>
    </row>
    <row r="30" spans="1:8" x14ac:dyDescent="0.2">
      <c r="A30" s="3" t="s">
        <v>655</v>
      </c>
      <c r="B30" s="12" t="s">
        <v>312</v>
      </c>
      <c r="C30" s="3" t="s">
        <v>14</v>
      </c>
      <c r="D30" s="7">
        <f>IFERROR(SUMIFS(ENTRADASOF[CANTIDAD],ENTRADASOF[DESCRIPCIÓN],INVENTARIOOFICINA[[#This Row],[DESCRIPCIÓN ]],ENTRADASOF[LOTE],INVENTARIOOFICINA[[#This Row],[LOTE]]),"-")</f>
        <v>32</v>
      </c>
      <c r="E30" s="7">
        <f>IFERROR(SUMIFS(SALIDASOF[CANTIDAD],SALIDASOF[DESCRIPCIÓN],INVENTARIOOFICINA[[#This Row],[DESCRIPCIÓN ]],SALIDASOF[LOTE],INVENTARIOOFICINA[[#This Row],[LOTE]]),"-")</f>
        <v>0</v>
      </c>
      <c r="F30" s="19">
        <f>INVENTARIOOFICINA[[#This Row],[ENTRADAS]]-INVENTARIOOFICINA[[#This Row],[SALIDAS]]</f>
        <v>32</v>
      </c>
      <c r="G30" s="3"/>
      <c r="H30" s="14">
        <f>INVENTARIOOFICINA[[#This Row],[PRECIO UNITARIO ]]*INVENTARIOOFICINA[[#This Row],[STOCK ACTUAL ]]</f>
        <v>0</v>
      </c>
    </row>
    <row r="31" spans="1:8" ht="16" x14ac:dyDescent="0.2">
      <c r="A31" s="2" t="s">
        <v>656</v>
      </c>
      <c r="B31" s="2" t="s">
        <v>416</v>
      </c>
      <c r="C31" s="3" t="s">
        <v>463</v>
      </c>
      <c r="D31" s="15">
        <f>IFERROR(SUMIFS(ENTRADASOF[CANTIDAD],ENTRADASOF[DESCRIPCIÓN],INVENTARIOOFICINA[[#This Row],[DESCRIPCIÓN ]],ENTRADASOF[LOTE],INVENTARIOOFICINA[[#This Row],[LOTE]]),"-")</f>
        <v>1</v>
      </c>
      <c r="E31" s="15">
        <f>IFERROR(SUMIFS(SALIDASOF[CANTIDAD],SALIDASOF[DESCRIPCIÓN],INVENTARIOOFICINA[[#This Row],[DESCRIPCIÓN ]],SALIDASOF[LOTE],INVENTARIOOFICINA[[#This Row],[LOTE]]),"-")</f>
        <v>0</v>
      </c>
      <c r="F31" s="20">
        <f>INVENTARIOOFICINA[[#This Row],[ENTRADAS]]-INVENTARIOOFICINA[[#This Row],[SALIDAS]]</f>
        <v>1</v>
      </c>
      <c r="H31" s="14">
        <f>INVENTARIOOFICINA[[#This Row],[PRECIO UNITARIO ]]*INVENTARIOOFICINA[[#This Row],[STOCK ACTUAL ]]</f>
        <v>0</v>
      </c>
    </row>
    <row r="32" spans="1:8" x14ac:dyDescent="0.2">
      <c r="A32" s="3" t="s">
        <v>657</v>
      </c>
      <c r="B32" s="12" t="s">
        <v>387</v>
      </c>
      <c r="C32" s="3" t="s">
        <v>155</v>
      </c>
      <c r="D32" s="7">
        <f>IFERROR(SUMIFS(ENTRADASOF[CANTIDAD],ENTRADASOF[DESCRIPCIÓN],INVENTARIOOFICINA[[#This Row],[DESCRIPCIÓN ]],ENTRADASOF[LOTE],INVENTARIOOFICINA[[#This Row],[LOTE]]),"-")</f>
        <v>0</v>
      </c>
      <c r="E32" s="7">
        <f>IFERROR(SUMIFS(SALIDASOF[CANTIDAD],SALIDASOF[DESCRIPCIÓN],INVENTARIOOFICINA[[#This Row],[DESCRIPCIÓN ]],SALIDASOF[LOTE],INVENTARIOOFICINA[[#This Row],[LOTE]]),"-")</f>
        <v>0</v>
      </c>
      <c r="F32" s="19">
        <f>INVENTARIOOFICINA[[#This Row],[ENTRADAS]]-INVENTARIOOFICINA[[#This Row],[SALIDAS]]</f>
        <v>0</v>
      </c>
      <c r="G32" s="3"/>
      <c r="H32" s="14">
        <f>INVENTARIOOFICINA[[#This Row],[PRECIO UNITARIO ]]*INVENTARIOOFICINA[[#This Row],[STOCK ACTUAL ]]</f>
        <v>0</v>
      </c>
    </row>
    <row r="33" spans="1:8" x14ac:dyDescent="0.2">
      <c r="A33" s="3" t="s">
        <v>658</v>
      </c>
      <c r="B33" s="12" t="s">
        <v>385</v>
      </c>
      <c r="C33" s="3" t="s">
        <v>155</v>
      </c>
      <c r="D33" s="7">
        <f>IFERROR(SUMIFS(ENTRADASOF[CANTIDAD],ENTRADASOF[DESCRIPCIÓN],INVENTARIOOFICINA[[#This Row],[DESCRIPCIÓN ]],ENTRADASOF[LOTE],INVENTARIOOFICINA[[#This Row],[LOTE]]),"-")</f>
        <v>4</v>
      </c>
      <c r="E33" s="7">
        <f>IFERROR(SUMIFS(SALIDASOF[CANTIDAD],SALIDASOF[DESCRIPCIÓN],INVENTARIOOFICINA[[#This Row],[DESCRIPCIÓN ]],SALIDASOF[LOTE],INVENTARIOOFICINA[[#This Row],[LOTE]]),"-")</f>
        <v>0</v>
      </c>
      <c r="F33" s="19">
        <f>INVENTARIOOFICINA[[#This Row],[ENTRADAS]]-INVENTARIOOFICINA[[#This Row],[SALIDAS]]</f>
        <v>4</v>
      </c>
      <c r="G33" s="3"/>
      <c r="H33" s="14">
        <f>INVENTARIOOFICINA[[#This Row],[PRECIO UNITARIO ]]*INVENTARIOOFICINA[[#This Row],[STOCK ACTUAL ]]</f>
        <v>0</v>
      </c>
    </row>
    <row r="34" spans="1:8" x14ac:dyDescent="0.2">
      <c r="A34" s="3" t="s">
        <v>659</v>
      </c>
      <c r="B34" s="12" t="s">
        <v>386</v>
      </c>
      <c r="C34" s="3" t="s">
        <v>155</v>
      </c>
      <c r="D34" s="7">
        <f>IFERROR(SUMIFS(ENTRADASOF[CANTIDAD],ENTRADASOF[DESCRIPCIÓN],INVENTARIOOFICINA[[#This Row],[DESCRIPCIÓN ]],ENTRADASOF[LOTE],INVENTARIOOFICINA[[#This Row],[LOTE]]),"-")</f>
        <v>1</v>
      </c>
      <c r="E34" s="7">
        <f>IFERROR(SUMIFS(SALIDASOF[CANTIDAD],SALIDASOF[DESCRIPCIÓN],INVENTARIOOFICINA[[#This Row],[DESCRIPCIÓN ]],SALIDASOF[LOTE],INVENTARIOOFICINA[[#This Row],[LOTE]]),"-")</f>
        <v>0</v>
      </c>
      <c r="F34" s="19">
        <f>INVENTARIOOFICINA[[#This Row],[ENTRADAS]]-INVENTARIOOFICINA[[#This Row],[SALIDAS]]</f>
        <v>1</v>
      </c>
      <c r="G34" s="3"/>
      <c r="H34" s="14">
        <f>INVENTARIOOFICINA[[#This Row],[PRECIO UNITARIO ]]*INVENTARIOOFICINA[[#This Row],[STOCK ACTUAL ]]</f>
        <v>0</v>
      </c>
    </row>
    <row r="35" spans="1:8" ht="16" x14ac:dyDescent="0.2">
      <c r="A35" s="2" t="s">
        <v>660</v>
      </c>
      <c r="B35" s="2" t="s">
        <v>421</v>
      </c>
      <c r="C35" s="3" t="s">
        <v>155</v>
      </c>
      <c r="D35" s="15">
        <f>IFERROR(SUMIFS(ENTRADASOF[CANTIDAD],ENTRADASOF[DESCRIPCIÓN],INVENTARIOOFICINA[[#This Row],[DESCRIPCIÓN ]],ENTRADASOF[LOTE],INVENTARIOOFICINA[[#This Row],[LOTE]]),"-")</f>
        <v>1</v>
      </c>
      <c r="E35" s="15">
        <f>IFERROR(SUMIFS(SALIDASOF[CANTIDAD],SALIDASOF[DESCRIPCIÓN],INVENTARIOOFICINA[[#This Row],[DESCRIPCIÓN ]],SALIDASOF[LOTE],INVENTARIOOFICINA[[#This Row],[LOTE]]),"-")</f>
        <v>0</v>
      </c>
      <c r="F35" s="20">
        <f>INVENTARIOOFICINA[[#This Row],[ENTRADAS]]-INVENTARIOOFICINA[[#This Row],[SALIDAS]]</f>
        <v>1</v>
      </c>
      <c r="H35" s="14">
        <f>INVENTARIOOFICINA[[#This Row],[PRECIO UNITARIO ]]*INVENTARIOOFICINA[[#This Row],[STOCK ACTUAL ]]</f>
        <v>0</v>
      </c>
    </row>
    <row r="36" spans="1:8" ht="16" x14ac:dyDescent="0.2">
      <c r="A36" s="2" t="s">
        <v>661</v>
      </c>
      <c r="B36" s="2" t="s">
        <v>441</v>
      </c>
      <c r="C36" s="3" t="s">
        <v>84</v>
      </c>
      <c r="D36" s="15">
        <f>IFERROR(SUMIFS(ENTRADASOF[CANTIDAD],ENTRADASOF[DESCRIPCIÓN],INVENTARIOOFICINA[[#This Row],[DESCRIPCIÓN ]],ENTRADASOF[LOTE],INVENTARIOOFICINA[[#This Row],[LOTE]]),"-")</f>
        <v>1</v>
      </c>
      <c r="E36" s="15">
        <f>IFERROR(SUMIFS(SALIDASOF[CANTIDAD],SALIDASOF[DESCRIPCIÓN],INVENTARIOOFICINA[[#This Row],[DESCRIPCIÓN ]],SALIDASOF[LOTE],INVENTARIOOFICINA[[#This Row],[LOTE]]),"-")</f>
        <v>0</v>
      </c>
      <c r="F36" s="20">
        <f>INVENTARIOOFICINA[[#This Row],[ENTRADAS]]-INVENTARIOOFICINA[[#This Row],[SALIDAS]]</f>
        <v>1</v>
      </c>
      <c r="H36" s="14">
        <f>INVENTARIOOFICINA[[#This Row],[PRECIO UNITARIO ]]*INVENTARIOOFICINA[[#This Row],[STOCK ACTUAL ]]</f>
        <v>0</v>
      </c>
    </row>
    <row r="37" spans="1:8" ht="16" x14ac:dyDescent="0.2">
      <c r="A37" s="2" t="s">
        <v>662</v>
      </c>
      <c r="B37" s="2" t="s">
        <v>392</v>
      </c>
      <c r="C37" s="3" t="s">
        <v>84</v>
      </c>
      <c r="D37" s="15">
        <f>IFERROR(SUMIFS(ENTRADASOF[CANTIDAD],ENTRADASOF[DESCRIPCIÓN],INVENTARIOOFICINA[[#This Row],[DESCRIPCIÓN ]],ENTRADASOF[LOTE],INVENTARIOOFICINA[[#This Row],[LOTE]]),"-")</f>
        <v>1</v>
      </c>
      <c r="E37" s="15">
        <f>IFERROR(SUMIFS(SALIDASOF[CANTIDAD],SALIDASOF[DESCRIPCIÓN],INVENTARIOOFICINA[[#This Row],[DESCRIPCIÓN ]],SALIDASOF[LOTE],INVENTARIOOFICINA[[#This Row],[LOTE]]),"-")</f>
        <v>0</v>
      </c>
      <c r="F37" s="20">
        <f>INVENTARIOOFICINA[[#This Row],[ENTRADAS]]-INVENTARIOOFICINA[[#This Row],[SALIDAS]]</f>
        <v>1</v>
      </c>
      <c r="H37" s="14">
        <f>INVENTARIOOFICINA[[#This Row],[PRECIO UNITARIO ]]*INVENTARIOOFICINA[[#This Row],[STOCK ACTUAL ]]</f>
        <v>0</v>
      </c>
    </row>
    <row r="38" spans="1:8" ht="16" x14ac:dyDescent="0.2">
      <c r="A38" s="2" t="s">
        <v>663</v>
      </c>
      <c r="B38" s="2" t="s">
        <v>429</v>
      </c>
      <c r="C38" s="3" t="s">
        <v>84</v>
      </c>
      <c r="D38" s="15">
        <f>IFERROR(SUMIFS(ENTRADASOF[CANTIDAD],ENTRADASOF[DESCRIPCIÓN],INVENTARIOOFICINA[[#This Row],[DESCRIPCIÓN ]],ENTRADASOF[LOTE],INVENTARIOOFICINA[[#This Row],[LOTE]]),"-")</f>
        <v>2</v>
      </c>
      <c r="E38" s="15">
        <f>IFERROR(SUMIFS(SALIDASOF[CANTIDAD],SALIDASOF[DESCRIPCIÓN],INVENTARIOOFICINA[[#This Row],[DESCRIPCIÓN ]],SALIDASOF[LOTE],INVENTARIOOFICINA[[#This Row],[LOTE]]),"-")</f>
        <v>0</v>
      </c>
      <c r="F38" s="20">
        <f>INVENTARIOOFICINA[[#This Row],[ENTRADAS]]-INVENTARIOOFICINA[[#This Row],[SALIDAS]]</f>
        <v>2</v>
      </c>
      <c r="H38" s="14">
        <f>INVENTARIOOFICINA[[#This Row],[PRECIO UNITARIO ]]*INVENTARIOOFICINA[[#This Row],[STOCK ACTUAL ]]</f>
        <v>0</v>
      </c>
    </row>
    <row r="39" spans="1:8" x14ac:dyDescent="0.2">
      <c r="A39" s="3" t="s">
        <v>664</v>
      </c>
      <c r="B39" s="12" t="s">
        <v>346</v>
      </c>
      <c r="C39" s="3" t="s">
        <v>84</v>
      </c>
      <c r="D39" s="7">
        <f>IFERROR(SUMIFS(ENTRADASOF[CANTIDAD],ENTRADASOF[DESCRIPCIÓN],INVENTARIOOFICINA[[#This Row],[DESCRIPCIÓN ]],ENTRADASOF[LOTE],INVENTARIOOFICINA[[#This Row],[LOTE]]),"-")</f>
        <v>3</v>
      </c>
      <c r="E39" s="7">
        <f>IFERROR(SUMIFS(SALIDASOF[CANTIDAD],SALIDASOF[DESCRIPCIÓN],INVENTARIOOFICINA[[#This Row],[DESCRIPCIÓN ]],SALIDASOF[LOTE],INVENTARIOOFICINA[[#This Row],[LOTE]]),"-")</f>
        <v>0</v>
      </c>
      <c r="F39" s="19">
        <f>INVENTARIOOFICINA[[#This Row],[ENTRADAS]]-INVENTARIOOFICINA[[#This Row],[SALIDAS]]</f>
        <v>3</v>
      </c>
      <c r="G39" s="3"/>
      <c r="H39" s="14">
        <f>INVENTARIOOFICINA[[#This Row],[PRECIO UNITARIO ]]*INVENTARIOOFICINA[[#This Row],[STOCK ACTUAL ]]</f>
        <v>0</v>
      </c>
    </row>
    <row r="40" spans="1:8" x14ac:dyDescent="0.2">
      <c r="A40" s="3" t="s">
        <v>665</v>
      </c>
      <c r="B40" s="12" t="s">
        <v>370</v>
      </c>
      <c r="C40" s="3" t="s">
        <v>84</v>
      </c>
      <c r="D40" s="7">
        <f>IFERROR(SUMIFS(ENTRADASOF[CANTIDAD],ENTRADASOF[DESCRIPCIÓN],INVENTARIOOFICINA[[#This Row],[DESCRIPCIÓN ]],ENTRADASOF[LOTE],INVENTARIOOFICINA[[#This Row],[LOTE]]),"-")</f>
        <v>2</v>
      </c>
      <c r="E40" s="7">
        <f>IFERROR(SUMIFS(SALIDASOF[CANTIDAD],SALIDASOF[DESCRIPCIÓN],INVENTARIOOFICINA[[#This Row],[DESCRIPCIÓN ]],SALIDASOF[LOTE],INVENTARIOOFICINA[[#This Row],[LOTE]]),"-")</f>
        <v>0</v>
      </c>
      <c r="F40" s="19">
        <f>INVENTARIOOFICINA[[#This Row],[ENTRADAS]]-INVENTARIOOFICINA[[#This Row],[SALIDAS]]</f>
        <v>2</v>
      </c>
      <c r="G40" s="3"/>
      <c r="H40" s="14">
        <f>INVENTARIOOFICINA[[#This Row],[PRECIO UNITARIO ]]*INVENTARIOOFICINA[[#This Row],[STOCK ACTUAL ]]</f>
        <v>0</v>
      </c>
    </row>
    <row r="41" spans="1:8" x14ac:dyDescent="0.2">
      <c r="A41" s="3" t="s">
        <v>666</v>
      </c>
      <c r="B41" s="12" t="s">
        <v>362</v>
      </c>
      <c r="C41" s="3" t="s">
        <v>84</v>
      </c>
      <c r="D41" s="7">
        <f>IFERROR(SUMIFS(ENTRADASOF[CANTIDAD],ENTRADASOF[DESCRIPCIÓN],INVENTARIOOFICINA[[#This Row],[DESCRIPCIÓN ]],ENTRADASOF[LOTE],INVENTARIOOFICINA[[#This Row],[LOTE]]),"-")</f>
        <v>11</v>
      </c>
      <c r="E41" s="7">
        <f>IFERROR(SUMIFS(SALIDASOF[CANTIDAD],SALIDASOF[DESCRIPCIÓN],INVENTARIOOFICINA[[#This Row],[DESCRIPCIÓN ]],SALIDASOF[LOTE],INVENTARIOOFICINA[[#This Row],[LOTE]]),"-")</f>
        <v>1</v>
      </c>
      <c r="F41" s="19">
        <f>INVENTARIOOFICINA[[#This Row],[ENTRADAS]]-INVENTARIOOFICINA[[#This Row],[SALIDAS]]</f>
        <v>10</v>
      </c>
      <c r="G41" s="3"/>
      <c r="H41" s="14">
        <f>INVENTARIOOFICINA[[#This Row],[PRECIO UNITARIO ]]*INVENTARIOOFICINA[[#This Row],[STOCK ACTUAL ]]</f>
        <v>0</v>
      </c>
    </row>
    <row r="42" spans="1:8" x14ac:dyDescent="0.2">
      <c r="A42" s="3" t="s">
        <v>667</v>
      </c>
      <c r="B42" s="12" t="s">
        <v>371</v>
      </c>
      <c r="C42" s="3" t="s">
        <v>84</v>
      </c>
      <c r="D42" s="7">
        <f>IFERROR(SUMIFS(ENTRADASOF[CANTIDAD],ENTRADASOF[DESCRIPCIÓN],INVENTARIOOFICINA[[#This Row],[DESCRIPCIÓN ]],ENTRADASOF[LOTE],INVENTARIOOFICINA[[#This Row],[LOTE]]),"-")</f>
        <v>1</v>
      </c>
      <c r="E42" s="7">
        <f>IFERROR(SUMIFS(SALIDASOF[CANTIDAD],SALIDASOF[DESCRIPCIÓN],INVENTARIOOFICINA[[#This Row],[DESCRIPCIÓN ]],SALIDASOF[LOTE],INVENTARIOOFICINA[[#This Row],[LOTE]]),"-")</f>
        <v>0</v>
      </c>
      <c r="F42" s="19">
        <f>INVENTARIOOFICINA[[#This Row],[ENTRADAS]]-INVENTARIOOFICINA[[#This Row],[SALIDAS]]</f>
        <v>1</v>
      </c>
      <c r="G42" s="3"/>
      <c r="H42" s="14">
        <f>INVENTARIOOFICINA[[#This Row],[PRECIO UNITARIO ]]*INVENTARIOOFICINA[[#This Row],[STOCK ACTUAL ]]</f>
        <v>0</v>
      </c>
    </row>
    <row r="43" spans="1:8" x14ac:dyDescent="0.2">
      <c r="A43" s="3" t="s">
        <v>668</v>
      </c>
      <c r="B43" s="12" t="s">
        <v>384</v>
      </c>
      <c r="C43" s="3" t="s">
        <v>84</v>
      </c>
      <c r="D43" s="7">
        <f>IFERROR(SUMIFS(ENTRADASOF[CANTIDAD],ENTRADASOF[DESCRIPCIÓN],INVENTARIOOFICINA[[#This Row],[DESCRIPCIÓN ]],ENTRADASOF[LOTE],INVENTARIOOFICINA[[#This Row],[LOTE]]),"-")</f>
        <v>4</v>
      </c>
      <c r="E43" s="7">
        <f>IFERROR(SUMIFS(SALIDASOF[CANTIDAD],SALIDASOF[DESCRIPCIÓN],INVENTARIOOFICINA[[#This Row],[DESCRIPCIÓN ]],SALIDASOF[LOTE],INVENTARIOOFICINA[[#This Row],[LOTE]]),"-")</f>
        <v>0</v>
      </c>
      <c r="F43" s="19">
        <f>INVENTARIOOFICINA[[#This Row],[ENTRADAS]]-INVENTARIOOFICINA[[#This Row],[SALIDAS]]</f>
        <v>4</v>
      </c>
      <c r="G43" s="3"/>
      <c r="H43" s="14">
        <f>INVENTARIOOFICINA[[#This Row],[PRECIO UNITARIO ]]*INVENTARIOOFICINA[[#This Row],[STOCK ACTUAL ]]</f>
        <v>0</v>
      </c>
    </row>
    <row r="44" spans="1:8" x14ac:dyDescent="0.2">
      <c r="A44" s="3" t="s">
        <v>669</v>
      </c>
      <c r="B44" s="12" t="s">
        <v>322</v>
      </c>
      <c r="C44" s="3" t="s">
        <v>84</v>
      </c>
      <c r="D44" s="7">
        <f>IFERROR(SUMIFS(ENTRADASOF[CANTIDAD],ENTRADASOF[DESCRIPCIÓN],INVENTARIOOFICINA[[#This Row],[DESCRIPCIÓN ]],ENTRADASOF[LOTE],INVENTARIOOFICINA[[#This Row],[LOTE]]),"-")</f>
        <v>1</v>
      </c>
      <c r="E44" s="7">
        <f>IFERROR(SUMIFS(SALIDASOF[CANTIDAD],SALIDASOF[DESCRIPCIÓN],INVENTARIOOFICINA[[#This Row],[DESCRIPCIÓN ]],SALIDASOF[LOTE],INVENTARIOOFICINA[[#This Row],[LOTE]]),"-")</f>
        <v>0</v>
      </c>
      <c r="F44" s="19">
        <f>INVENTARIOOFICINA[[#This Row],[ENTRADAS]]-INVENTARIOOFICINA[[#This Row],[SALIDAS]]</f>
        <v>1</v>
      </c>
      <c r="G44" s="3"/>
      <c r="H44" s="14">
        <f>INVENTARIOOFICINA[[#This Row],[PRECIO UNITARIO ]]*INVENTARIOOFICINA[[#This Row],[STOCK ACTUAL ]]</f>
        <v>0</v>
      </c>
    </row>
    <row r="45" spans="1:8" x14ac:dyDescent="0.2">
      <c r="A45" s="3" t="s">
        <v>670</v>
      </c>
      <c r="B45" s="12" t="s">
        <v>347</v>
      </c>
      <c r="C45" s="3" t="s">
        <v>84</v>
      </c>
      <c r="D45" s="7">
        <f>IFERROR(SUMIFS(ENTRADASOF[CANTIDAD],ENTRADASOF[DESCRIPCIÓN],INVENTARIOOFICINA[[#This Row],[DESCRIPCIÓN ]],ENTRADASOF[LOTE],INVENTARIOOFICINA[[#This Row],[LOTE]]),"-")</f>
        <v>3</v>
      </c>
      <c r="E45" s="7">
        <f>IFERROR(SUMIFS(SALIDASOF[CANTIDAD],SALIDASOF[DESCRIPCIÓN],INVENTARIOOFICINA[[#This Row],[DESCRIPCIÓN ]],SALIDASOF[LOTE],INVENTARIOOFICINA[[#This Row],[LOTE]]),"-")</f>
        <v>0</v>
      </c>
      <c r="F45" s="19">
        <f>INVENTARIOOFICINA[[#This Row],[ENTRADAS]]-INVENTARIOOFICINA[[#This Row],[SALIDAS]]</f>
        <v>3</v>
      </c>
      <c r="G45" s="3"/>
      <c r="H45" s="14">
        <f>INVENTARIOOFICINA[[#This Row],[PRECIO UNITARIO ]]*INVENTARIOOFICINA[[#This Row],[STOCK ACTUAL ]]</f>
        <v>0</v>
      </c>
    </row>
    <row r="46" spans="1:8" x14ac:dyDescent="0.2">
      <c r="A46" s="3" t="s">
        <v>671</v>
      </c>
      <c r="B46" s="12" t="s">
        <v>332</v>
      </c>
      <c r="C46" s="3" t="s">
        <v>84</v>
      </c>
      <c r="D46" s="7">
        <f>IFERROR(SUMIFS(ENTRADASOF[CANTIDAD],ENTRADASOF[DESCRIPCIÓN],INVENTARIOOFICINA[[#This Row],[DESCRIPCIÓN ]],ENTRADASOF[LOTE],INVENTARIOOFICINA[[#This Row],[LOTE]]),"-")</f>
        <v>1</v>
      </c>
      <c r="E46" s="7">
        <f>IFERROR(SUMIFS(SALIDASOF[CANTIDAD],SALIDASOF[DESCRIPCIÓN],INVENTARIOOFICINA[[#This Row],[DESCRIPCIÓN ]],SALIDASOF[LOTE],INVENTARIOOFICINA[[#This Row],[LOTE]]),"-")</f>
        <v>0</v>
      </c>
      <c r="F46" s="19">
        <f>INVENTARIOOFICINA[[#This Row],[ENTRADAS]]-INVENTARIOOFICINA[[#This Row],[SALIDAS]]</f>
        <v>1</v>
      </c>
      <c r="G46" s="3"/>
      <c r="H46" s="14">
        <f>INVENTARIOOFICINA[[#This Row],[PRECIO UNITARIO ]]*INVENTARIOOFICINA[[#This Row],[STOCK ACTUAL ]]</f>
        <v>0</v>
      </c>
    </row>
    <row r="47" spans="1:8" x14ac:dyDescent="0.2">
      <c r="A47" s="3" t="s">
        <v>672</v>
      </c>
      <c r="B47" s="12" t="s">
        <v>315</v>
      </c>
      <c r="C47" s="3" t="s">
        <v>80</v>
      </c>
      <c r="D47" s="7">
        <f>IFERROR(SUMIFS(ENTRADASOF[CANTIDAD],ENTRADASOF[DESCRIPCIÓN],INVENTARIOOFICINA[[#This Row],[DESCRIPCIÓN ]],ENTRADASOF[LOTE],INVENTARIOOFICINA[[#This Row],[LOTE]]),"-")</f>
        <v>1</v>
      </c>
      <c r="E47" s="7">
        <f>IFERROR(SUMIFS(SALIDASOF[CANTIDAD],SALIDASOF[DESCRIPCIÓN],INVENTARIOOFICINA[[#This Row],[DESCRIPCIÓN ]],SALIDASOF[LOTE],INVENTARIOOFICINA[[#This Row],[LOTE]]),"-")</f>
        <v>0</v>
      </c>
      <c r="F47" s="19">
        <f>INVENTARIOOFICINA[[#This Row],[ENTRADAS]]-INVENTARIOOFICINA[[#This Row],[SALIDAS]]</f>
        <v>1</v>
      </c>
      <c r="G47" s="3"/>
      <c r="H47" s="14">
        <f>INVENTARIOOFICINA[[#This Row],[PRECIO UNITARIO ]]*INVENTARIOOFICINA[[#This Row],[STOCK ACTUAL ]]</f>
        <v>0</v>
      </c>
    </row>
    <row r="48" spans="1:8" ht="16" x14ac:dyDescent="0.2">
      <c r="A48" s="2" t="s">
        <v>673</v>
      </c>
      <c r="B48" s="2" t="s">
        <v>443</v>
      </c>
      <c r="C48" s="3" t="s">
        <v>13</v>
      </c>
      <c r="D48" s="15">
        <f>IFERROR(SUMIFS(ENTRADASOF[CANTIDAD],ENTRADASOF[DESCRIPCIÓN],INVENTARIOOFICINA[[#This Row],[DESCRIPCIÓN ]],ENTRADASOF[LOTE],INVENTARIOOFICINA[[#This Row],[LOTE]]),"-")</f>
        <v>2</v>
      </c>
      <c r="E48" s="15">
        <f>IFERROR(SUMIFS(SALIDASOF[CANTIDAD],SALIDASOF[DESCRIPCIÓN],INVENTARIOOFICINA[[#This Row],[DESCRIPCIÓN ]],SALIDASOF[LOTE],INVENTARIOOFICINA[[#This Row],[LOTE]]),"-")</f>
        <v>0</v>
      </c>
      <c r="F48" s="20">
        <f>INVENTARIOOFICINA[[#This Row],[ENTRADAS]]-INVENTARIOOFICINA[[#This Row],[SALIDAS]]</f>
        <v>2</v>
      </c>
      <c r="H48" s="14">
        <f>INVENTARIOOFICINA[[#This Row],[PRECIO UNITARIO ]]*INVENTARIOOFICINA[[#This Row],[STOCK ACTUAL ]]</f>
        <v>0</v>
      </c>
    </row>
    <row r="49" spans="1:8" x14ac:dyDescent="0.2">
      <c r="A49" s="3" t="s">
        <v>674</v>
      </c>
      <c r="B49" s="12" t="s">
        <v>367</v>
      </c>
      <c r="C49" s="3" t="s">
        <v>149</v>
      </c>
      <c r="D49" s="7">
        <f>IFERROR(SUMIFS(ENTRADASOF[CANTIDAD],ENTRADASOF[DESCRIPCIÓN],INVENTARIOOFICINA[[#This Row],[DESCRIPCIÓN ]],ENTRADASOF[LOTE],INVENTARIOOFICINA[[#This Row],[LOTE]]),"-")</f>
        <v>3</v>
      </c>
      <c r="E49" s="7">
        <f>IFERROR(SUMIFS(SALIDASOF[CANTIDAD],SALIDASOF[DESCRIPCIÓN],INVENTARIOOFICINA[[#This Row],[DESCRIPCIÓN ]],SALIDASOF[LOTE],INVENTARIOOFICINA[[#This Row],[LOTE]]),"-")</f>
        <v>0</v>
      </c>
      <c r="F49" s="19">
        <f>INVENTARIOOFICINA[[#This Row],[ENTRADAS]]-INVENTARIOOFICINA[[#This Row],[SALIDAS]]</f>
        <v>3</v>
      </c>
      <c r="G49" s="3"/>
      <c r="H49" s="14">
        <f>INVENTARIOOFICINA[[#This Row],[PRECIO UNITARIO ]]*INVENTARIOOFICINA[[#This Row],[STOCK ACTUAL ]]</f>
        <v>0</v>
      </c>
    </row>
    <row r="50" spans="1:8" ht="16" x14ac:dyDescent="0.2">
      <c r="A50" s="2" t="s">
        <v>675</v>
      </c>
      <c r="B50" s="2" t="s">
        <v>396</v>
      </c>
      <c r="C50" s="3" t="s">
        <v>91</v>
      </c>
      <c r="D50" s="15">
        <f>IFERROR(SUMIFS(ENTRADASOF[CANTIDAD],ENTRADASOF[DESCRIPCIÓN],INVENTARIOOFICINA[[#This Row],[DESCRIPCIÓN ]],ENTRADASOF[LOTE],INVENTARIOOFICINA[[#This Row],[LOTE]]),"-")</f>
        <v>1</v>
      </c>
      <c r="E50" s="15">
        <f>IFERROR(SUMIFS(SALIDASOF[CANTIDAD],SALIDASOF[DESCRIPCIÓN],INVENTARIOOFICINA[[#This Row],[DESCRIPCIÓN ]],SALIDASOF[LOTE],INVENTARIOOFICINA[[#This Row],[LOTE]]),"-")</f>
        <v>0</v>
      </c>
      <c r="F50" s="20">
        <f>INVENTARIOOFICINA[[#This Row],[ENTRADAS]]-INVENTARIOOFICINA[[#This Row],[SALIDAS]]</f>
        <v>1</v>
      </c>
      <c r="H50" s="14">
        <f>INVENTARIOOFICINA[[#This Row],[PRECIO UNITARIO ]]*INVENTARIOOFICINA[[#This Row],[STOCK ACTUAL ]]</f>
        <v>0</v>
      </c>
    </row>
    <row r="51" spans="1:8" ht="16" x14ac:dyDescent="0.2">
      <c r="A51" s="2" t="s">
        <v>676</v>
      </c>
      <c r="B51" s="2" t="s">
        <v>423</v>
      </c>
      <c r="C51" s="3" t="s">
        <v>91</v>
      </c>
      <c r="D51" s="15">
        <f>IFERROR(SUMIFS(ENTRADASOF[CANTIDAD],ENTRADASOF[DESCRIPCIÓN],INVENTARIOOFICINA[[#This Row],[DESCRIPCIÓN ]],ENTRADASOF[LOTE],INVENTARIOOFICINA[[#This Row],[LOTE]]),"-")</f>
        <v>1</v>
      </c>
      <c r="E51" s="15">
        <f>IFERROR(SUMIFS(SALIDASOF[CANTIDAD],SALIDASOF[DESCRIPCIÓN],INVENTARIOOFICINA[[#This Row],[DESCRIPCIÓN ]],SALIDASOF[LOTE],INVENTARIOOFICINA[[#This Row],[LOTE]]),"-")</f>
        <v>0</v>
      </c>
      <c r="F51" s="20">
        <f>INVENTARIOOFICINA[[#This Row],[ENTRADAS]]-INVENTARIOOFICINA[[#This Row],[SALIDAS]]</f>
        <v>1</v>
      </c>
      <c r="H51" s="14">
        <f>INVENTARIOOFICINA[[#This Row],[PRECIO UNITARIO ]]*INVENTARIOOFICINA[[#This Row],[STOCK ACTUAL ]]</f>
        <v>0</v>
      </c>
    </row>
    <row r="52" spans="1:8" x14ac:dyDescent="0.2">
      <c r="A52" s="3" t="s">
        <v>677</v>
      </c>
      <c r="B52" s="12" t="s">
        <v>339</v>
      </c>
      <c r="C52" s="3" t="s">
        <v>91</v>
      </c>
      <c r="D52" s="7">
        <f>IFERROR(SUMIFS(ENTRADASOF[CANTIDAD],ENTRADASOF[DESCRIPCIÓN],INVENTARIOOFICINA[[#This Row],[DESCRIPCIÓN ]],ENTRADASOF[LOTE],INVENTARIOOFICINA[[#This Row],[LOTE]]),"-")</f>
        <v>1</v>
      </c>
      <c r="E52" s="7">
        <f>IFERROR(SUMIFS(SALIDASOF[CANTIDAD],SALIDASOF[DESCRIPCIÓN],INVENTARIOOFICINA[[#This Row],[DESCRIPCIÓN ]],SALIDASOF[LOTE],INVENTARIOOFICINA[[#This Row],[LOTE]]),"-")</f>
        <v>0</v>
      </c>
      <c r="F52" s="19">
        <f>INVENTARIOOFICINA[[#This Row],[ENTRADAS]]-INVENTARIOOFICINA[[#This Row],[SALIDAS]]</f>
        <v>1</v>
      </c>
      <c r="G52" s="3"/>
      <c r="H52" s="14">
        <f>INVENTARIOOFICINA[[#This Row],[PRECIO UNITARIO ]]*INVENTARIOOFICINA[[#This Row],[STOCK ACTUAL ]]</f>
        <v>0</v>
      </c>
    </row>
    <row r="53" spans="1:8" ht="16" x14ac:dyDescent="0.2">
      <c r="A53" s="2" t="s">
        <v>678</v>
      </c>
      <c r="B53" s="2" t="s">
        <v>424</v>
      </c>
      <c r="C53" s="3" t="s">
        <v>91</v>
      </c>
      <c r="D53" s="15">
        <f>IFERROR(SUMIFS(ENTRADASOF[CANTIDAD],ENTRADASOF[DESCRIPCIÓN],INVENTARIOOFICINA[[#This Row],[DESCRIPCIÓN ]],ENTRADASOF[LOTE],INVENTARIOOFICINA[[#This Row],[LOTE]]),"-")</f>
        <v>1</v>
      </c>
      <c r="E53" s="15">
        <f>IFERROR(SUMIFS(SALIDASOF[CANTIDAD],SALIDASOF[DESCRIPCIÓN],INVENTARIOOFICINA[[#This Row],[DESCRIPCIÓN ]],SALIDASOF[LOTE],INVENTARIOOFICINA[[#This Row],[LOTE]]),"-")</f>
        <v>0</v>
      </c>
      <c r="F53" s="20">
        <f>INVENTARIOOFICINA[[#This Row],[ENTRADAS]]-INVENTARIOOFICINA[[#This Row],[SALIDAS]]</f>
        <v>1</v>
      </c>
      <c r="H53" s="14">
        <f>INVENTARIOOFICINA[[#This Row],[PRECIO UNITARIO ]]*INVENTARIOOFICINA[[#This Row],[STOCK ACTUAL ]]</f>
        <v>0</v>
      </c>
    </row>
    <row r="54" spans="1:8" x14ac:dyDescent="0.2">
      <c r="A54" s="3" t="s">
        <v>679</v>
      </c>
      <c r="B54" s="12" t="s">
        <v>358</v>
      </c>
      <c r="C54" s="3" t="s">
        <v>91</v>
      </c>
      <c r="D54" s="7">
        <f>IFERROR(SUMIFS(ENTRADASOF[CANTIDAD],ENTRADASOF[DESCRIPCIÓN],INVENTARIOOFICINA[[#This Row],[DESCRIPCIÓN ]],ENTRADASOF[LOTE],INVENTARIOOFICINA[[#This Row],[LOTE]]),"-")</f>
        <v>4</v>
      </c>
      <c r="E54" s="7">
        <f>IFERROR(SUMIFS(SALIDASOF[CANTIDAD],SALIDASOF[DESCRIPCIÓN],INVENTARIOOFICINA[[#This Row],[DESCRIPCIÓN ]],SALIDASOF[LOTE],INVENTARIOOFICINA[[#This Row],[LOTE]]),"-")</f>
        <v>0</v>
      </c>
      <c r="F54" s="19">
        <f>INVENTARIOOFICINA[[#This Row],[ENTRADAS]]-INVENTARIOOFICINA[[#This Row],[SALIDAS]]</f>
        <v>4</v>
      </c>
      <c r="G54" s="3"/>
      <c r="H54" s="14">
        <f>INVENTARIOOFICINA[[#This Row],[PRECIO UNITARIO ]]*INVENTARIOOFICINA[[#This Row],[STOCK ACTUAL ]]</f>
        <v>0</v>
      </c>
    </row>
    <row r="55" spans="1:8" x14ac:dyDescent="0.2">
      <c r="A55" s="3" t="s">
        <v>680</v>
      </c>
      <c r="B55" s="12" t="s">
        <v>376</v>
      </c>
      <c r="C55" s="3" t="s">
        <v>91</v>
      </c>
      <c r="D55" s="7">
        <f>IFERROR(SUMIFS(ENTRADASOF[CANTIDAD],ENTRADASOF[DESCRIPCIÓN],INVENTARIOOFICINA[[#This Row],[DESCRIPCIÓN ]],ENTRADASOF[LOTE],INVENTARIOOFICINA[[#This Row],[LOTE]]),"-")</f>
        <v>1</v>
      </c>
      <c r="E55" s="7">
        <f>IFERROR(SUMIFS(SALIDASOF[CANTIDAD],SALIDASOF[DESCRIPCIÓN],INVENTARIOOFICINA[[#This Row],[DESCRIPCIÓN ]],SALIDASOF[LOTE],INVENTARIOOFICINA[[#This Row],[LOTE]]),"-")</f>
        <v>1</v>
      </c>
      <c r="F55" s="19">
        <f>INVENTARIOOFICINA[[#This Row],[ENTRADAS]]-INVENTARIOOFICINA[[#This Row],[SALIDAS]]</f>
        <v>0</v>
      </c>
      <c r="G55" s="3"/>
      <c r="H55" s="14">
        <f>INVENTARIOOFICINA[[#This Row],[PRECIO UNITARIO ]]*INVENTARIOOFICINA[[#This Row],[STOCK ACTUAL ]]</f>
        <v>0</v>
      </c>
    </row>
    <row r="56" spans="1:8" x14ac:dyDescent="0.2">
      <c r="A56" s="3" t="s">
        <v>681</v>
      </c>
      <c r="B56" s="12" t="s">
        <v>313</v>
      </c>
      <c r="C56" s="3" t="s">
        <v>17</v>
      </c>
      <c r="D56" s="7">
        <f>IFERROR(SUMIFS(ENTRADASOF[CANTIDAD],ENTRADASOF[DESCRIPCIÓN],INVENTARIOOFICINA[[#This Row],[DESCRIPCIÓN ]],ENTRADASOF[LOTE],INVENTARIOOFICINA[[#This Row],[LOTE]]),"-")</f>
        <v>1</v>
      </c>
      <c r="E56" s="7">
        <f>IFERROR(SUMIFS(SALIDASOF[CANTIDAD],SALIDASOF[DESCRIPCIÓN],INVENTARIOOFICINA[[#This Row],[DESCRIPCIÓN ]],SALIDASOF[LOTE],INVENTARIOOFICINA[[#This Row],[LOTE]]),"-")</f>
        <v>0</v>
      </c>
      <c r="F56" s="19">
        <f>INVENTARIOOFICINA[[#This Row],[ENTRADAS]]-INVENTARIOOFICINA[[#This Row],[SALIDAS]]</f>
        <v>1</v>
      </c>
      <c r="G56" s="3"/>
      <c r="H56" s="14">
        <f>INVENTARIOOFICINA[[#This Row],[PRECIO UNITARIO ]]*INVENTARIOOFICINA[[#This Row],[STOCK ACTUAL ]]</f>
        <v>0</v>
      </c>
    </row>
    <row r="57" spans="1:8" x14ac:dyDescent="0.2">
      <c r="A57" s="3" t="s">
        <v>682</v>
      </c>
      <c r="B57" s="12" t="s">
        <v>363</v>
      </c>
      <c r="C57" s="3" t="s">
        <v>148</v>
      </c>
      <c r="D57" s="7">
        <f>IFERROR(SUMIFS(ENTRADASOF[CANTIDAD],ENTRADASOF[DESCRIPCIÓN],INVENTARIOOFICINA[[#This Row],[DESCRIPCIÓN ]],ENTRADASOF[LOTE],INVENTARIOOFICINA[[#This Row],[LOTE]]),"-")</f>
        <v>7</v>
      </c>
      <c r="E57" s="7">
        <f>IFERROR(SUMIFS(SALIDASOF[CANTIDAD],SALIDASOF[DESCRIPCIÓN],INVENTARIOOFICINA[[#This Row],[DESCRIPCIÓN ]],SALIDASOF[LOTE],INVENTARIOOFICINA[[#This Row],[LOTE]]),"-")</f>
        <v>0</v>
      </c>
      <c r="F57" s="19">
        <f>INVENTARIOOFICINA[[#This Row],[ENTRADAS]]-INVENTARIOOFICINA[[#This Row],[SALIDAS]]</f>
        <v>7</v>
      </c>
      <c r="G57" s="3"/>
      <c r="H57" s="14">
        <f>INVENTARIOOFICINA[[#This Row],[PRECIO UNITARIO ]]*INVENTARIOOFICINA[[#This Row],[STOCK ACTUAL ]]</f>
        <v>0</v>
      </c>
    </row>
    <row r="58" spans="1:8" x14ac:dyDescent="0.2">
      <c r="A58" s="3" t="s">
        <v>683</v>
      </c>
      <c r="B58" s="12" t="s">
        <v>364</v>
      </c>
      <c r="C58" s="3" t="s">
        <v>148</v>
      </c>
      <c r="D58" s="7">
        <f>IFERROR(SUMIFS(ENTRADASOF[CANTIDAD],ENTRADASOF[DESCRIPCIÓN],INVENTARIOOFICINA[[#This Row],[DESCRIPCIÓN ]],ENTRADASOF[LOTE],INVENTARIOOFICINA[[#This Row],[LOTE]]),"-")</f>
        <v>6</v>
      </c>
      <c r="E58" s="7">
        <f>IFERROR(SUMIFS(SALIDASOF[CANTIDAD],SALIDASOF[DESCRIPCIÓN],INVENTARIOOFICINA[[#This Row],[DESCRIPCIÓN ]],SALIDASOF[LOTE],INVENTARIOOFICINA[[#This Row],[LOTE]]),"-")</f>
        <v>0</v>
      </c>
      <c r="F58" s="19">
        <f>INVENTARIOOFICINA[[#This Row],[ENTRADAS]]-INVENTARIOOFICINA[[#This Row],[SALIDAS]]</f>
        <v>6</v>
      </c>
      <c r="G58" s="3"/>
      <c r="H58" s="14">
        <f>INVENTARIOOFICINA[[#This Row],[PRECIO UNITARIO ]]*INVENTARIOOFICINA[[#This Row],[STOCK ACTUAL ]]</f>
        <v>0</v>
      </c>
    </row>
    <row r="59" spans="1:8" ht="16" x14ac:dyDescent="0.2">
      <c r="A59" s="2" t="s">
        <v>684</v>
      </c>
      <c r="B59" s="2" t="s">
        <v>401</v>
      </c>
      <c r="C59" s="3" t="s">
        <v>148</v>
      </c>
      <c r="D59" s="15">
        <f>IFERROR(SUMIFS(ENTRADASOF[CANTIDAD],ENTRADASOF[DESCRIPCIÓN],INVENTARIOOFICINA[[#This Row],[DESCRIPCIÓN ]],ENTRADASOF[LOTE],INVENTARIOOFICINA[[#This Row],[LOTE]]),"-")</f>
        <v>2</v>
      </c>
      <c r="E59" s="15">
        <f>IFERROR(SUMIFS(SALIDASOF[CANTIDAD],SALIDASOF[DESCRIPCIÓN],INVENTARIOOFICINA[[#This Row],[DESCRIPCIÓN ]],SALIDASOF[LOTE],INVENTARIOOFICINA[[#This Row],[LOTE]]),"-")</f>
        <v>0</v>
      </c>
      <c r="F59" s="20">
        <f>INVENTARIOOFICINA[[#This Row],[ENTRADAS]]-INVENTARIOOFICINA[[#This Row],[SALIDAS]]</f>
        <v>2</v>
      </c>
      <c r="H59" s="14">
        <f>INVENTARIOOFICINA[[#This Row],[PRECIO UNITARIO ]]*INVENTARIOOFICINA[[#This Row],[STOCK ACTUAL ]]</f>
        <v>0</v>
      </c>
    </row>
    <row r="60" spans="1:8" x14ac:dyDescent="0.2">
      <c r="A60" s="3" t="s">
        <v>685</v>
      </c>
      <c r="B60" s="12" t="s">
        <v>365</v>
      </c>
      <c r="C60" s="3" t="s">
        <v>148</v>
      </c>
      <c r="D60" s="7">
        <f>IFERROR(SUMIFS(ENTRADASOF[CANTIDAD],ENTRADASOF[DESCRIPCIÓN],INVENTARIOOFICINA[[#This Row],[DESCRIPCIÓN ]],ENTRADASOF[LOTE],INVENTARIOOFICINA[[#This Row],[LOTE]]),"-")</f>
        <v>1</v>
      </c>
      <c r="E60" s="7">
        <f>IFERROR(SUMIFS(SALIDASOF[CANTIDAD],SALIDASOF[DESCRIPCIÓN],INVENTARIOOFICINA[[#This Row],[DESCRIPCIÓN ]],SALIDASOF[LOTE],INVENTARIOOFICINA[[#This Row],[LOTE]]),"-")</f>
        <v>0</v>
      </c>
      <c r="F60" s="19">
        <f>INVENTARIOOFICINA[[#This Row],[ENTRADAS]]-INVENTARIOOFICINA[[#This Row],[SALIDAS]]</f>
        <v>1</v>
      </c>
      <c r="G60" s="3"/>
      <c r="H60" s="14">
        <f>INVENTARIOOFICINA[[#This Row],[PRECIO UNITARIO ]]*INVENTARIOOFICINA[[#This Row],[STOCK ACTUAL ]]</f>
        <v>0</v>
      </c>
    </row>
    <row r="61" spans="1:8" x14ac:dyDescent="0.2">
      <c r="A61" s="3" t="s">
        <v>686</v>
      </c>
      <c r="B61" s="12" t="s">
        <v>366</v>
      </c>
      <c r="C61" s="3" t="s">
        <v>148</v>
      </c>
      <c r="D61" s="7">
        <f>IFERROR(SUMIFS(ENTRADASOF[CANTIDAD],ENTRADASOF[DESCRIPCIÓN],INVENTARIOOFICINA[[#This Row],[DESCRIPCIÓN ]],ENTRADASOF[LOTE],INVENTARIOOFICINA[[#This Row],[LOTE]]),"-")</f>
        <v>4</v>
      </c>
      <c r="E61" s="7">
        <f>IFERROR(SUMIFS(SALIDASOF[CANTIDAD],SALIDASOF[DESCRIPCIÓN],INVENTARIOOFICINA[[#This Row],[DESCRIPCIÓN ]],SALIDASOF[LOTE],INVENTARIOOFICINA[[#This Row],[LOTE]]),"-")</f>
        <v>0</v>
      </c>
      <c r="F61" s="19">
        <f>INVENTARIOOFICINA[[#This Row],[ENTRADAS]]-INVENTARIOOFICINA[[#This Row],[SALIDAS]]</f>
        <v>4</v>
      </c>
      <c r="G61" s="3"/>
      <c r="H61" s="14">
        <f>INVENTARIOOFICINA[[#This Row],[PRECIO UNITARIO ]]*INVENTARIOOFICINA[[#This Row],[STOCK ACTUAL ]]</f>
        <v>0</v>
      </c>
    </row>
    <row r="62" spans="1:8" ht="16" x14ac:dyDescent="0.2">
      <c r="A62" s="2" t="s">
        <v>687</v>
      </c>
      <c r="B62" s="2" t="s">
        <v>400</v>
      </c>
      <c r="C62" s="3" t="s">
        <v>148</v>
      </c>
      <c r="D62" s="15">
        <f>IFERROR(SUMIFS(ENTRADASOF[CANTIDAD],ENTRADASOF[DESCRIPCIÓN],INVENTARIOOFICINA[[#This Row],[DESCRIPCIÓN ]],ENTRADASOF[LOTE],INVENTARIOOFICINA[[#This Row],[LOTE]]),"-")</f>
        <v>1</v>
      </c>
      <c r="E62" s="15">
        <f>IFERROR(SUMIFS(SALIDASOF[CANTIDAD],SALIDASOF[DESCRIPCIÓN],INVENTARIOOFICINA[[#This Row],[DESCRIPCIÓN ]],SALIDASOF[LOTE],INVENTARIOOFICINA[[#This Row],[LOTE]]),"-")</f>
        <v>0</v>
      </c>
      <c r="F62" s="20">
        <f>INVENTARIOOFICINA[[#This Row],[ENTRADAS]]-INVENTARIOOFICINA[[#This Row],[SALIDAS]]</f>
        <v>1</v>
      </c>
      <c r="H62" s="14">
        <f>INVENTARIOOFICINA[[#This Row],[PRECIO UNITARIO ]]*INVENTARIOOFICINA[[#This Row],[STOCK ACTUAL ]]</f>
        <v>0</v>
      </c>
    </row>
    <row r="63" spans="1:8" ht="16" x14ac:dyDescent="0.2">
      <c r="A63" s="2" t="s">
        <v>688</v>
      </c>
      <c r="B63" s="2" t="s">
        <v>418</v>
      </c>
      <c r="C63" s="3" t="s">
        <v>464</v>
      </c>
      <c r="D63" s="15">
        <f>IFERROR(SUMIFS(ENTRADASOF[CANTIDAD],ENTRADASOF[DESCRIPCIÓN],INVENTARIOOFICINA[[#This Row],[DESCRIPCIÓN ]],ENTRADASOF[LOTE],INVENTARIOOFICINA[[#This Row],[LOTE]]),"-")</f>
        <v>100</v>
      </c>
      <c r="E63" s="15">
        <f>IFERROR(SUMIFS(SALIDASOF[CANTIDAD],SALIDASOF[DESCRIPCIÓN],INVENTARIOOFICINA[[#This Row],[DESCRIPCIÓN ]],SALIDASOF[LOTE],INVENTARIOOFICINA[[#This Row],[LOTE]]),"-")</f>
        <v>0</v>
      </c>
      <c r="F63" s="20">
        <f>INVENTARIOOFICINA[[#This Row],[ENTRADAS]]-INVENTARIOOFICINA[[#This Row],[SALIDAS]]</f>
        <v>100</v>
      </c>
      <c r="H63" s="14">
        <f>INVENTARIOOFICINA[[#This Row],[PRECIO UNITARIO ]]*INVENTARIOOFICINA[[#This Row],[STOCK ACTUAL ]]</f>
        <v>0</v>
      </c>
    </row>
    <row r="64" spans="1:8" x14ac:dyDescent="0.2">
      <c r="A64" s="3" t="s">
        <v>689</v>
      </c>
      <c r="B64" s="12" t="s">
        <v>333</v>
      </c>
      <c r="C64" s="3" t="s">
        <v>88</v>
      </c>
      <c r="D64" s="7">
        <f>IFERROR(SUMIFS(ENTRADASOF[CANTIDAD],ENTRADASOF[DESCRIPCIÓN],INVENTARIOOFICINA[[#This Row],[DESCRIPCIÓN ]],ENTRADASOF[LOTE],INVENTARIOOFICINA[[#This Row],[LOTE]]),"-")</f>
        <v>1</v>
      </c>
      <c r="E64" s="7">
        <f>IFERROR(SUMIFS(SALIDASOF[CANTIDAD],SALIDASOF[DESCRIPCIÓN],INVENTARIOOFICINA[[#This Row],[DESCRIPCIÓN ]],SALIDASOF[LOTE],INVENTARIOOFICINA[[#This Row],[LOTE]]),"-")</f>
        <v>0</v>
      </c>
      <c r="F64" s="19">
        <f>INVENTARIOOFICINA[[#This Row],[ENTRADAS]]-INVENTARIOOFICINA[[#This Row],[SALIDAS]]</f>
        <v>1</v>
      </c>
      <c r="G64" s="3"/>
      <c r="H64" s="14">
        <f>INVENTARIOOFICINA[[#This Row],[PRECIO UNITARIO ]]*INVENTARIOOFICINA[[#This Row],[STOCK ACTUAL ]]</f>
        <v>0</v>
      </c>
    </row>
    <row r="65" spans="1:8" ht="16" x14ac:dyDescent="0.2">
      <c r="A65" s="2" t="s">
        <v>690</v>
      </c>
      <c r="B65" s="2" t="s">
        <v>440</v>
      </c>
      <c r="C65" s="3" t="s">
        <v>472</v>
      </c>
      <c r="D65" s="15">
        <f>IFERROR(SUMIFS(ENTRADASOF[CANTIDAD],ENTRADASOF[DESCRIPCIÓN],INVENTARIOOFICINA[[#This Row],[DESCRIPCIÓN ]],ENTRADASOF[LOTE],INVENTARIOOFICINA[[#This Row],[LOTE]]),"-")</f>
        <v>20</v>
      </c>
      <c r="E65" s="15">
        <f>IFERROR(SUMIFS(SALIDASOF[CANTIDAD],SALIDASOF[DESCRIPCIÓN],INVENTARIOOFICINA[[#This Row],[DESCRIPCIÓN ]],SALIDASOF[LOTE],INVENTARIOOFICINA[[#This Row],[LOTE]]),"-")</f>
        <v>4</v>
      </c>
      <c r="F65" s="20">
        <f>INVENTARIOOFICINA[[#This Row],[ENTRADAS]]-INVENTARIOOFICINA[[#This Row],[SALIDAS]]</f>
        <v>16</v>
      </c>
      <c r="H65" s="14">
        <f>INVENTARIOOFICINA[[#This Row],[PRECIO UNITARIO ]]*INVENTARIOOFICINA[[#This Row],[STOCK ACTUAL ]]</f>
        <v>0</v>
      </c>
    </row>
    <row r="66" spans="1:8" ht="16" x14ac:dyDescent="0.2">
      <c r="A66" s="2" t="s">
        <v>691</v>
      </c>
      <c r="B66" s="2" t="s">
        <v>458</v>
      </c>
      <c r="C66" s="3" t="s">
        <v>467</v>
      </c>
      <c r="D66" s="15">
        <f>IFERROR(SUMIFS(ENTRADASOF[CANTIDAD],ENTRADASOF[DESCRIPCIÓN],INVENTARIOOFICINA[[#This Row],[DESCRIPCIÓN ]],ENTRADASOF[LOTE],INVENTARIOOFICINA[[#This Row],[LOTE]]),"-")</f>
        <v>2</v>
      </c>
      <c r="E66" s="15">
        <f>IFERROR(SUMIFS(SALIDASOF[CANTIDAD],SALIDASOF[DESCRIPCIÓN],INVENTARIOOFICINA[[#This Row],[DESCRIPCIÓN ]],SALIDASOF[LOTE],INVENTARIOOFICINA[[#This Row],[LOTE]]),"-")</f>
        <v>0</v>
      </c>
      <c r="F66" s="20">
        <f>INVENTARIOOFICINA[[#This Row],[ENTRADAS]]-INVENTARIOOFICINA[[#This Row],[SALIDAS]]</f>
        <v>2</v>
      </c>
      <c r="H66" s="14">
        <f>INVENTARIOOFICINA[[#This Row],[PRECIO UNITARIO ]]*INVENTARIOOFICINA[[#This Row],[STOCK ACTUAL ]]</f>
        <v>0</v>
      </c>
    </row>
    <row r="67" spans="1:8" ht="16" x14ac:dyDescent="0.2">
      <c r="A67" s="2" t="s">
        <v>692</v>
      </c>
      <c r="B67" s="2" t="s">
        <v>432</v>
      </c>
      <c r="C67" s="3" t="s">
        <v>471</v>
      </c>
      <c r="D67" s="15">
        <f>IFERROR(SUMIFS(ENTRADASOF[CANTIDAD],ENTRADASOF[DESCRIPCIÓN],INVENTARIOOFICINA[[#This Row],[DESCRIPCIÓN ]],ENTRADASOF[LOTE],INVENTARIOOFICINA[[#This Row],[LOTE]]),"-")</f>
        <v>2</v>
      </c>
      <c r="E67" s="15">
        <f>IFERROR(SUMIFS(SALIDASOF[CANTIDAD],SALIDASOF[DESCRIPCIÓN],INVENTARIOOFICINA[[#This Row],[DESCRIPCIÓN ]],SALIDASOF[LOTE],INVENTARIOOFICINA[[#This Row],[LOTE]]),"-")</f>
        <v>0</v>
      </c>
      <c r="F67" s="20">
        <f>INVENTARIOOFICINA[[#This Row],[ENTRADAS]]-INVENTARIOOFICINA[[#This Row],[SALIDAS]]</f>
        <v>2</v>
      </c>
      <c r="H67" s="14">
        <f>INVENTARIOOFICINA[[#This Row],[PRECIO UNITARIO ]]*INVENTARIOOFICINA[[#This Row],[STOCK ACTUAL ]]</f>
        <v>0</v>
      </c>
    </row>
    <row r="68" spans="1:8" ht="16" x14ac:dyDescent="0.2">
      <c r="A68" s="2" t="s">
        <v>693</v>
      </c>
      <c r="B68" s="2" t="s">
        <v>430</v>
      </c>
      <c r="C68" s="3" t="s">
        <v>469</v>
      </c>
      <c r="D68" s="15">
        <f>IFERROR(SUMIFS(ENTRADASOF[CANTIDAD],ENTRADASOF[DESCRIPCIÓN],INVENTARIOOFICINA[[#This Row],[DESCRIPCIÓN ]],ENTRADASOF[LOTE],INVENTARIOOFICINA[[#This Row],[LOTE]]),"-")</f>
        <v>3</v>
      </c>
      <c r="E68" s="15">
        <f>IFERROR(SUMIFS(SALIDASOF[CANTIDAD],SALIDASOF[DESCRIPCIÓN],INVENTARIOOFICINA[[#This Row],[DESCRIPCIÓN ]],SALIDASOF[LOTE],INVENTARIOOFICINA[[#This Row],[LOTE]]),"-")</f>
        <v>0</v>
      </c>
      <c r="F68" s="20">
        <f>INVENTARIOOFICINA[[#This Row],[ENTRADAS]]-INVENTARIOOFICINA[[#This Row],[SALIDAS]]</f>
        <v>3</v>
      </c>
      <c r="H68" s="14">
        <f>INVENTARIOOFICINA[[#This Row],[PRECIO UNITARIO ]]*INVENTARIOOFICINA[[#This Row],[STOCK ACTUAL ]]</f>
        <v>0</v>
      </c>
    </row>
    <row r="69" spans="1:8" ht="16" x14ac:dyDescent="0.2">
      <c r="A69" s="2" t="s">
        <v>694</v>
      </c>
      <c r="B69" s="3" t="s">
        <v>462</v>
      </c>
      <c r="C69" s="3" t="s">
        <v>93</v>
      </c>
      <c r="D69" s="15">
        <f>IFERROR(SUMIFS(ENTRADASOF[CANTIDAD],ENTRADASOF[DESCRIPCIÓN],INVENTARIOOFICINA[[#This Row],[DESCRIPCIÓN ]],ENTRADASOF[LOTE],INVENTARIOOFICINA[[#This Row],[LOTE]]),"-")</f>
        <v>155</v>
      </c>
      <c r="E69" s="15">
        <f>IFERROR(SUMIFS(SALIDASOF[CANTIDAD],SALIDASOF[DESCRIPCIÓN],INVENTARIOOFICINA[[#This Row],[DESCRIPCIÓN ]],SALIDASOF[LOTE],INVENTARIOOFICINA[[#This Row],[LOTE]]),"-")</f>
        <v>0</v>
      </c>
      <c r="F69" s="20">
        <f>INVENTARIOOFICINA[[#This Row],[ENTRADAS]]-INVENTARIOOFICINA[[#This Row],[SALIDAS]]</f>
        <v>155</v>
      </c>
      <c r="H69" s="14">
        <f>INVENTARIOOFICINA[[#This Row],[PRECIO UNITARIO ]]*INVENTARIOOFICINA[[#This Row],[STOCK ACTUAL ]]</f>
        <v>0</v>
      </c>
    </row>
    <row r="70" spans="1:8" ht="16" x14ac:dyDescent="0.2">
      <c r="A70" s="2" t="s">
        <v>695</v>
      </c>
      <c r="B70" s="2" t="s">
        <v>393</v>
      </c>
      <c r="C70" s="3" t="s">
        <v>82</v>
      </c>
      <c r="D70" s="15">
        <f>IFERROR(SUMIFS(ENTRADASOF[CANTIDAD],ENTRADASOF[DESCRIPCIÓN],INVENTARIOOFICINA[[#This Row],[DESCRIPCIÓN ]],ENTRADASOF[LOTE],INVENTARIOOFICINA[[#This Row],[LOTE]]),"-")</f>
        <v>7</v>
      </c>
      <c r="E70" s="15">
        <f>IFERROR(SUMIFS(SALIDASOF[CANTIDAD],SALIDASOF[DESCRIPCIÓN],INVENTARIOOFICINA[[#This Row],[DESCRIPCIÓN ]],SALIDASOF[LOTE],INVENTARIOOFICINA[[#This Row],[LOTE]]),"-")</f>
        <v>0</v>
      </c>
      <c r="F70" s="20">
        <f>INVENTARIOOFICINA[[#This Row],[ENTRADAS]]-INVENTARIOOFICINA[[#This Row],[SALIDAS]]</f>
        <v>7</v>
      </c>
      <c r="H70" s="14">
        <f>INVENTARIOOFICINA[[#This Row],[PRECIO UNITARIO ]]*INVENTARIOOFICINA[[#This Row],[STOCK ACTUAL ]]</f>
        <v>0</v>
      </c>
    </row>
    <row r="71" spans="1:8" x14ac:dyDescent="0.2">
      <c r="A71" s="3" t="s">
        <v>696</v>
      </c>
      <c r="B71" s="12" t="s">
        <v>24</v>
      </c>
      <c r="C71" s="3" t="s">
        <v>82</v>
      </c>
      <c r="D71" s="7">
        <f>IFERROR(SUMIFS(ENTRADASOF[CANTIDAD],ENTRADASOF[DESCRIPCIÓN],INVENTARIOOFICINA[[#This Row],[DESCRIPCIÓN ]],ENTRADASOF[LOTE],INVENTARIOOFICINA[[#This Row],[LOTE]]),"-")</f>
        <v>2</v>
      </c>
      <c r="E71" s="7">
        <f>IFERROR(SUMIFS(SALIDASOF[CANTIDAD],SALIDASOF[DESCRIPCIÓN],INVENTARIOOFICINA[[#This Row],[DESCRIPCIÓN ]],SALIDASOF[LOTE],INVENTARIOOFICINA[[#This Row],[LOTE]]),"-")</f>
        <v>0</v>
      </c>
      <c r="F71" s="19">
        <f>INVENTARIOOFICINA[[#This Row],[ENTRADAS]]-INVENTARIOOFICINA[[#This Row],[SALIDAS]]</f>
        <v>2</v>
      </c>
      <c r="G71" s="3"/>
      <c r="H71" s="14">
        <f>INVENTARIOOFICINA[[#This Row],[PRECIO UNITARIO ]]*INVENTARIOOFICINA[[#This Row],[STOCK ACTUAL ]]</f>
        <v>0</v>
      </c>
    </row>
    <row r="72" spans="1:8" ht="16" x14ac:dyDescent="0.2">
      <c r="A72" s="2" t="s">
        <v>697</v>
      </c>
      <c r="B72" s="2" t="s">
        <v>435</v>
      </c>
      <c r="C72" s="3" t="s">
        <v>82</v>
      </c>
      <c r="D72" s="15">
        <f>IFERROR(SUMIFS(ENTRADASOF[CANTIDAD],ENTRADASOF[DESCRIPCIÓN],INVENTARIOOFICINA[[#This Row],[DESCRIPCIÓN ]],ENTRADASOF[LOTE],INVENTARIOOFICINA[[#This Row],[LOTE]]),"-")</f>
        <v>1</v>
      </c>
      <c r="E72" s="15">
        <f>IFERROR(SUMIFS(SALIDASOF[CANTIDAD],SALIDASOF[DESCRIPCIÓN],INVENTARIOOFICINA[[#This Row],[DESCRIPCIÓN ]],SALIDASOF[LOTE],INVENTARIOOFICINA[[#This Row],[LOTE]]),"-")</f>
        <v>0</v>
      </c>
      <c r="F72" s="20">
        <f>INVENTARIOOFICINA[[#This Row],[ENTRADAS]]-INVENTARIOOFICINA[[#This Row],[SALIDAS]]</f>
        <v>1</v>
      </c>
      <c r="H72" s="14">
        <f>INVENTARIOOFICINA[[#This Row],[PRECIO UNITARIO ]]*INVENTARIOOFICINA[[#This Row],[STOCK ACTUAL ]]</f>
        <v>0</v>
      </c>
    </row>
    <row r="73" spans="1:8" ht="16" x14ac:dyDescent="0.2">
      <c r="A73" s="2" t="s">
        <v>698</v>
      </c>
      <c r="B73" s="2" t="s">
        <v>406</v>
      </c>
      <c r="C73" s="3" t="s">
        <v>82</v>
      </c>
      <c r="D73" s="15">
        <f>IFERROR(SUMIFS(ENTRADASOF[CANTIDAD],ENTRADASOF[DESCRIPCIÓN],INVENTARIOOFICINA[[#This Row],[DESCRIPCIÓN ]],ENTRADASOF[LOTE],INVENTARIOOFICINA[[#This Row],[LOTE]]),"-")</f>
        <v>1</v>
      </c>
      <c r="E73" s="15">
        <f>IFERROR(SUMIFS(SALIDASOF[CANTIDAD],SALIDASOF[DESCRIPCIÓN],INVENTARIOOFICINA[[#This Row],[DESCRIPCIÓN ]],SALIDASOF[LOTE],INVENTARIOOFICINA[[#This Row],[LOTE]]),"-")</f>
        <v>0</v>
      </c>
      <c r="F73" s="20">
        <f>INVENTARIOOFICINA[[#This Row],[ENTRADAS]]-INVENTARIOOFICINA[[#This Row],[SALIDAS]]</f>
        <v>1</v>
      </c>
      <c r="H73" s="14">
        <f>INVENTARIOOFICINA[[#This Row],[PRECIO UNITARIO ]]*INVENTARIOOFICINA[[#This Row],[STOCK ACTUAL ]]</f>
        <v>0</v>
      </c>
    </row>
    <row r="74" spans="1:8" x14ac:dyDescent="0.2">
      <c r="A74" s="3" t="s">
        <v>699</v>
      </c>
      <c r="B74" s="12" t="s">
        <v>319</v>
      </c>
      <c r="C74" s="3" t="s">
        <v>82</v>
      </c>
      <c r="D74" s="7">
        <f>IFERROR(SUMIFS(ENTRADASOF[CANTIDAD],ENTRADASOF[DESCRIPCIÓN],INVENTARIOOFICINA[[#This Row],[DESCRIPCIÓN ]],ENTRADASOF[LOTE],INVENTARIOOFICINA[[#This Row],[LOTE]]),"-")</f>
        <v>1</v>
      </c>
      <c r="E74" s="7">
        <f>IFERROR(SUMIFS(SALIDASOF[CANTIDAD],SALIDASOF[DESCRIPCIÓN],INVENTARIOOFICINA[[#This Row],[DESCRIPCIÓN ]],SALIDASOF[LOTE],INVENTARIOOFICINA[[#This Row],[LOTE]]),"-")</f>
        <v>0</v>
      </c>
      <c r="F74" s="19">
        <f>INVENTARIOOFICINA[[#This Row],[ENTRADAS]]-INVENTARIOOFICINA[[#This Row],[SALIDAS]]</f>
        <v>1</v>
      </c>
      <c r="G74" s="3"/>
      <c r="H74" s="14">
        <f>INVENTARIOOFICINA[[#This Row],[PRECIO UNITARIO ]]*INVENTARIOOFICINA[[#This Row],[STOCK ACTUAL ]]</f>
        <v>0</v>
      </c>
    </row>
    <row r="75" spans="1:8" x14ac:dyDescent="0.2">
      <c r="A75" s="3" t="s">
        <v>700</v>
      </c>
      <c r="B75" s="12" t="s">
        <v>335</v>
      </c>
      <c r="C75" s="3" t="s">
        <v>82</v>
      </c>
      <c r="D75" s="7">
        <f>IFERROR(SUMIFS(ENTRADASOF[CANTIDAD],ENTRADASOF[DESCRIPCIÓN],INVENTARIOOFICINA[[#This Row],[DESCRIPCIÓN ]],ENTRADASOF[LOTE],INVENTARIOOFICINA[[#This Row],[LOTE]]),"-")</f>
        <v>1</v>
      </c>
      <c r="E75" s="7">
        <f>IFERROR(SUMIFS(SALIDASOF[CANTIDAD],SALIDASOF[DESCRIPCIÓN],INVENTARIOOFICINA[[#This Row],[DESCRIPCIÓN ]],SALIDASOF[LOTE],INVENTARIOOFICINA[[#This Row],[LOTE]]),"-")</f>
        <v>0</v>
      </c>
      <c r="F75" s="19">
        <f>INVENTARIOOFICINA[[#This Row],[ENTRADAS]]-INVENTARIOOFICINA[[#This Row],[SALIDAS]]</f>
        <v>1</v>
      </c>
      <c r="G75" s="3"/>
      <c r="H75" s="14">
        <f>INVENTARIOOFICINA[[#This Row],[PRECIO UNITARIO ]]*INVENTARIOOFICINA[[#This Row],[STOCK ACTUAL ]]</f>
        <v>0</v>
      </c>
    </row>
    <row r="76" spans="1:8" x14ac:dyDescent="0.2">
      <c r="A76" s="3" t="s">
        <v>701</v>
      </c>
      <c r="B76" s="12" t="s">
        <v>318</v>
      </c>
      <c r="C76" s="3" t="s">
        <v>82</v>
      </c>
      <c r="D76" s="7">
        <f>IFERROR(SUMIFS(ENTRADASOF[CANTIDAD],ENTRADASOF[DESCRIPCIÓN],INVENTARIOOFICINA[[#This Row],[DESCRIPCIÓN ]],ENTRADASOF[LOTE],INVENTARIOOFICINA[[#This Row],[LOTE]]),"-")</f>
        <v>2</v>
      </c>
      <c r="E76" s="7">
        <f>IFERROR(SUMIFS(SALIDASOF[CANTIDAD],SALIDASOF[DESCRIPCIÓN],INVENTARIOOFICINA[[#This Row],[DESCRIPCIÓN ]],SALIDASOF[LOTE],INVENTARIOOFICINA[[#This Row],[LOTE]]),"-")</f>
        <v>0</v>
      </c>
      <c r="F76" s="19">
        <f>INVENTARIOOFICINA[[#This Row],[ENTRADAS]]-INVENTARIOOFICINA[[#This Row],[SALIDAS]]</f>
        <v>2</v>
      </c>
      <c r="G76" s="3"/>
      <c r="H76" s="14">
        <f>INVENTARIOOFICINA[[#This Row],[PRECIO UNITARIO ]]*INVENTARIOOFICINA[[#This Row],[STOCK ACTUAL ]]</f>
        <v>0</v>
      </c>
    </row>
    <row r="77" spans="1:8" x14ac:dyDescent="0.2">
      <c r="A77" s="3" t="s">
        <v>702</v>
      </c>
      <c r="B77" s="12" t="s">
        <v>355</v>
      </c>
      <c r="C77" s="3" t="s">
        <v>82</v>
      </c>
      <c r="D77" s="7">
        <f>IFERROR(SUMIFS(ENTRADASOF[CANTIDAD],ENTRADASOF[DESCRIPCIÓN],INVENTARIOOFICINA[[#This Row],[DESCRIPCIÓN ]],ENTRADASOF[LOTE],INVENTARIOOFICINA[[#This Row],[LOTE]]),"-")</f>
        <v>8</v>
      </c>
      <c r="E77" s="7">
        <f>IFERROR(SUMIFS(SALIDASOF[CANTIDAD],SALIDASOF[DESCRIPCIÓN],INVENTARIOOFICINA[[#This Row],[DESCRIPCIÓN ]],SALIDASOF[LOTE],INVENTARIOOFICINA[[#This Row],[LOTE]]),"-")</f>
        <v>1</v>
      </c>
      <c r="F77" s="19">
        <f>INVENTARIOOFICINA[[#This Row],[ENTRADAS]]-INVENTARIOOFICINA[[#This Row],[SALIDAS]]</f>
        <v>7</v>
      </c>
      <c r="G77" s="3"/>
      <c r="H77" s="14">
        <f>INVENTARIOOFICINA[[#This Row],[PRECIO UNITARIO ]]*INVENTARIOOFICINA[[#This Row],[STOCK ACTUAL ]]</f>
        <v>0</v>
      </c>
    </row>
    <row r="78" spans="1:8" x14ac:dyDescent="0.2">
      <c r="A78" s="3" t="s">
        <v>703</v>
      </c>
      <c r="B78" s="12" t="s">
        <v>373</v>
      </c>
      <c r="C78" s="3" t="s">
        <v>150</v>
      </c>
      <c r="D78" s="7">
        <f>IFERROR(SUMIFS(ENTRADASOF[CANTIDAD],ENTRADASOF[DESCRIPCIÓN],INVENTARIOOFICINA[[#This Row],[DESCRIPCIÓN ]],ENTRADASOF[LOTE],INVENTARIOOFICINA[[#This Row],[LOTE]]),"-")</f>
        <v>7</v>
      </c>
      <c r="E78" s="7">
        <f>IFERROR(SUMIFS(SALIDASOF[CANTIDAD],SALIDASOF[DESCRIPCIÓN],INVENTARIOOFICINA[[#This Row],[DESCRIPCIÓN ]],SALIDASOF[LOTE],INVENTARIOOFICINA[[#This Row],[LOTE]]),"-")</f>
        <v>0</v>
      </c>
      <c r="F78" s="19">
        <f>INVENTARIOOFICINA[[#This Row],[ENTRADAS]]-INVENTARIOOFICINA[[#This Row],[SALIDAS]]</f>
        <v>7</v>
      </c>
      <c r="G78" s="3"/>
      <c r="H78" s="14">
        <f>INVENTARIOOFICINA[[#This Row],[PRECIO UNITARIO ]]*INVENTARIOOFICINA[[#This Row],[STOCK ACTUAL ]]</f>
        <v>0</v>
      </c>
    </row>
    <row r="79" spans="1:8" ht="16" x14ac:dyDescent="0.2">
      <c r="A79" s="2" t="s">
        <v>704</v>
      </c>
      <c r="B79" s="2" t="s">
        <v>455</v>
      </c>
      <c r="C79" s="3" t="s">
        <v>473</v>
      </c>
      <c r="D79" s="15">
        <f>IFERROR(SUMIFS(ENTRADASOF[CANTIDAD],ENTRADASOF[DESCRIPCIÓN],INVENTARIOOFICINA[[#This Row],[DESCRIPCIÓN ]],ENTRADASOF[LOTE],INVENTARIOOFICINA[[#This Row],[LOTE]]),"-")</f>
        <v>1</v>
      </c>
      <c r="E79" s="15">
        <f>IFERROR(SUMIFS(SALIDASOF[CANTIDAD],SALIDASOF[DESCRIPCIÓN],INVENTARIOOFICINA[[#This Row],[DESCRIPCIÓN ]],SALIDASOF[LOTE],INVENTARIOOFICINA[[#This Row],[LOTE]]),"-")</f>
        <v>0</v>
      </c>
      <c r="F79" s="20">
        <f>INVENTARIOOFICINA[[#This Row],[ENTRADAS]]-INVENTARIOOFICINA[[#This Row],[SALIDAS]]</f>
        <v>1</v>
      </c>
      <c r="H79" s="14">
        <f>INVENTARIOOFICINA[[#This Row],[PRECIO UNITARIO ]]*INVENTARIOOFICINA[[#This Row],[STOCK ACTUAL ]]</f>
        <v>0</v>
      </c>
    </row>
    <row r="80" spans="1:8" ht="16" x14ac:dyDescent="0.2">
      <c r="A80" s="2" t="s">
        <v>705</v>
      </c>
      <c r="B80" s="2" t="s">
        <v>437</v>
      </c>
      <c r="C80" s="3" t="s">
        <v>473</v>
      </c>
      <c r="D80" s="15">
        <f>IFERROR(SUMIFS(ENTRADASOF[CANTIDAD],ENTRADASOF[DESCRIPCIÓN],INVENTARIOOFICINA[[#This Row],[DESCRIPCIÓN ]],ENTRADASOF[LOTE],INVENTARIOOFICINA[[#This Row],[LOTE]]),"-")</f>
        <v>1</v>
      </c>
      <c r="E80" s="15">
        <f>IFERROR(SUMIFS(SALIDASOF[CANTIDAD],SALIDASOF[DESCRIPCIÓN],INVENTARIOOFICINA[[#This Row],[DESCRIPCIÓN ]],SALIDASOF[LOTE],INVENTARIOOFICINA[[#This Row],[LOTE]]),"-")</f>
        <v>0</v>
      </c>
      <c r="F80" s="20">
        <f>INVENTARIOOFICINA[[#This Row],[ENTRADAS]]-INVENTARIOOFICINA[[#This Row],[SALIDAS]]</f>
        <v>1</v>
      </c>
      <c r="H80" s="14">
        <f>INVENTARIOOFICINA[[#This Row],[PRECIO UNITARIO ]]*INVENTARIOOFICINA[[#This Row],[STOCK ACTUAL ]]</f>
        <v>0</v>
      </c>
    </row>
    <row r="81" spans="1:8" ht="16" x14ac:dyDescent="0.2">
      <c r="A81" s="2" t="s">
        <v>706</v>
      </c>
      <c r="B81" s="2" t="s">
        <v>438</v>
      </c>
      <c r="C81" s="3" t="s">
        <v>473</v>
      </c>
      <c r="D81" s="15">
        <f>IFERROR(SUMIFS(ENTRADASOF[CANTIDAD],ENTRADASOF[DESCRIPCIÓN],INVENTARIOOFICINA[[#This Row],[DESCRIPCIÓN ]],ENTRADASOF[LOTE],INVENTARIOOFICINA[[#This Row],[LOTE]]),"-")</f>
        <v>1</v>
      </c>
      <c r="E81" s="15">
        <f>IFERROR(SUMIFS(SALIDASOF[CANTIDAD],SALIDASOF[DESCRIPCIÓN],INVENTARIOOFICINA[[#This Row],[DESCRIPCIÓN ]],SALIDASOF[LOTE],INVENTARIOOFICINA[[#This Row],[LOTE]]),"-")</f>
        <v>0</v>
      </c>
      <c r="F81" s="20">
        <f>INVENTARIOOFICINA[[#This Row],[ENTRADAS]]-INVENTARIOOFICINA[[#This Row],[SALIDAS]]</f>
        <v>1</v>
      </c>
      <c r="H81" s="14">
        <f>INVENTARIOOFICINA[[#This Row],[PRECIO UNITARIO ]]*INVENTARIOOFICINA[[#This Row],[STOCK ACTUAL ]]</f>
        <v>0</v>
      </c>
    </row>
    <row r="82" spans="1:8" ht="16" x14ac:dyDescent="0.2">
      <c r="A82" s="2" t="s">
        <v>707</v>
      </c>
      <c r="B82" s="2" t="s">
        <v>439</v>
      </c>
      <c r="C82" s="3" t="s">
        <v>473</v>
      </c>
      <c r="D82" s="15">
        <f>IFERROR(SUMIFS(ENTRADASOF[CANTIDAD],ENTRADASOF[DESCRIPCIÓN],INVENTARIOOFICINA[[#This Row],[DESCRIPCIÓN ]],ENTRADASOF[LOTE],INVENTARIOOFICINA[[#This Row],[LOTE]]),"-")</f>
        <v>1</v>
      </c>
      <c r="E82" s="15">
        <f>IFERROR(SUMIFS(SALIDASOF[CANTIDAD],SALIDASOF[DESCRIPCIÓN],INVENTARIOOFICINA[[#This Row],[DESCRIPCIÓN ]],SALIDASOF[LOTE],INVENTARIOOFICINA[[#This Row],[LOTE]]),"-")</f>
        <v>0</v>
      </c>
      <c r="F82" s="20">
        <f>INVENTARIOOFICINA[[#This Row],[ENTRADAS]]-INVENTARIOOFICINA[[#This Row],[SALIDAS]]</f>
        <v>1</v>
      </c>
      <c r="H82" s="14">
        <f>INVENTARIOOFICINA[[#This Row],[PRECIO UNITARIO ]]*INVENTARIOOFICINA[[#This Row],[STOCK ACTUAL ]]</f>
        <v>0</v>
      </c>
    </row>
    <row r="83" spans="1:8" x14ac:dyDescent="0.2">
      <c r="A83" s="3" t="s">
        <v>708</v>
      </c>
      <c r="B83" s="12" t="s">
        <v>321</v>
      </c>
      <c r="C83" s="3" t="s">
        <v>83</v>
      </c>
      <c r="D83" s="7">
        <f>IFERROR(SUMIFS(ENTRADASOF[CANTIDAD],ENTRADASOF[DESCRIPCIÓN],INVENTARIOOFICINA[[#This Row],[DESCRIPCIÓN ]],ENTRADASOF[LOTE],INVENTARIOOFICINA[[#This Row],[LOTE]]),"-")</f>
        <v>100</v>
      </c>
      <c r="E83" s="7">
        <f>IFERROR(SUMIFS(SALIDASOF[CANTIDAD],SALIDASOF[DESCRIPCIÓN],INVENTARIOOFICINA[[#This Row],[DESCRIPCIÓN ]],SALIDASOF[LOTE],INVENTARIOOFICINA[[#This Row],[LOTE]]),"-")</f>
        <v>0</v>
      </c>
      <c r="F83" s="19">
        <f>INVENTARIOOFICINA[[#This Row],[ENTRADAS]]-INVENTARIOOFICINA[[#This Row],[SALIDAS]]</f>
        <v>100</v>
      </c>
      <c r="G83" s="3"/>
      <c r="H83" s="14">
        <f>INVENTARIOOFICINA[[#This Row],[PRECIO UNITARIO ]]*INVENTARIOOFICINA[[#This Row],[STOCK ACTUAL ]]</f>
        <v>0</v>
      </c>
    </row>
    <row r="84" spans="1:8" ht="16" x14ac:dyDescent="0.2">
      <c r="A84" s="2" t="s">
        <v>709</v>
      </c>
      <c r="B84" s="2" t="s">
        <v>450</v>
      </c>
      <c r="C84" s="3" t="s">
        <v>83</v>
      </c>
      <c r="D84" s="15">
        <f>IFERROR(SUMIFS(ENTRADASOF[CANTIDAD],ENTRADASOF[DESCRIPCIÓN],INVENTARIOOFICINA[[#This Row],[DESCRIPCIÓN ]],ENTRADASOF[LOTE],INVENTARIOOFICINA[[#This Row],[LOTE]]),"-")</f>
        <v>1096</v>
      </c>
      <c r="E84" s="15">
        <f>IFERROR(SUMIFS(SALIDASOF[CANTIDAD],SALIDASOF[DESCRIPCIÓN],INVENTARIOOFICINA[[#This Row],[DESCRIPCIÓN ]],SALIDASOF[LOTE],INVENTARIOOFICINA[[#This Row],[LOTE]]),"-")</f>
        <v>51</v>
      </c>
      <c r="F84" s="20">
        <f>INVENTARIOOFICINA[[#This Row],[ENTRADAS]]-INVENTARIOOFICINA[[#This Row],[SALIDAS]]</f>
        <v>1045</v>
      </c>
      <c r="H84" s="14">
        <f>INVENTARIOOFICINA[[#This Row],[PRECIO UNITARIO ]]*INVENTARIOOFICINA[[#This Row],[STOCK ACTUAL ]]</f>
        <v>0</v>
      </c>
    </row>
    <row r="85" spans="1:8" ht="16" x14ac:dyDescent="0.2">
      <c r="A85" s="2" t="s">
        <v>710</v>
      </c>
      <c r="B85" s="2" t="s">
        <v>448</v>
      </c>
      <c r="C85" s="3" t="s">
        <v>82</v>
      </c>
      <c r="D85" s="15">
        <f>IFERROR(SUMIFS(ENTRADASOF[CANTIDAD],ENTRADASOF[DESCRIPCIÓN],INVENTARIOOFICINA[[#This Row],[DESCRIPCIÓN ]],ENTRADASOF[LOTE],INVENTARIOOFICINA[[#This Row],[LOTE]]),"-")</f>
        <v>3</v>
      </c>
      <c r="E85" s="15">
        <f>IFERROR(SUMIFS(SALIDASOF[CANTIDAD],SALIDASOF[DESCRIPCIÓN],INVENTARIOOFICINA[[#This Row],[DESCRIPCIÓN ]],SALIDASOF[LOTE],INVENTARIOOFICINA[[#This Row],[LOTE]]),"-")</f>
        <v>0</v>
      </c>
      <c r="F85" s="20">
        <f>INVENTARIOOFICINA[[#This Row],[ENTRADAS]]-INVENTARIOOFICINA[[#This Row],[SALIDAS]]</f>
        <v>3</v>
      </c>
      <c r="H85" s="14">
        <f>INVENTARIOOFICINA[[#This Row],[PRECIO UNITARIO ]]*INVENTARIOOFICINA[[#This Row],[STOCK ACTUAL ]]</f>
        <v>0</v>
      </c>
    </row>
    <row r="86" spans="1:8" x14ac:dyDescent="0.2">
      <c r="A86" s="3" t="s">
        <v>711</v>
      </c>
      <c r="B86" s="12" t="s">
        <v>374</v>
      </c>
      <c r="C86" s="3" t="s">
        <v>151</v>
      </c>
      <c r="D86" s="7">
        <f>IFERROR(SUMIFS(ENTRADASOF[CANTIDAD],ENTRADASOF[DESCRIPCIÓN],INVENTARIOOFICINA[[#This Row],[DESCRIPCIÓN ]],ENTRADASOF[LOTE],INVENTARIOOFICINA[[#This Row],[LOTE]]),"-")</f>
        <v>5</v>
      </c>
      <c r="E86" s="7">
        <f>IFERROR(SUMIFS(SALIDASOF[CANTIDAD],SALIDASOF[DESCRIPCIÓN],INVENTARIOOFICINA[[#This Row],[DESCRIPCIÓN ]],SALIDASOF[LOTE],INVENTARIOOFICINA[[#This Row],[LOTE]]),"-")</f>
        <v>0</v>
      </c>
      <c r="F86" s="19">
        <f>INVENTARIOOFICINA[[#This Row],[ENTRADAS]]-INVENTARIOOFICINA[[#This Row],[SALIDAS]]</f>
        <v>5</v>
      </c>
      <c r="G86" s="3"/>
      <c r="H86" s="14">
        <f>INVENTARIOOFICINA[[#This Row],[PRECIO UNITARIO ]]*INVENTARIOOFICINA[[#This Row],[STOCK ACTUAL ]]</f>
        <v>0</v>
      </c>
    </row>
    <row r="87" spans="1:8" x14ac:dyDescent="0.2">
      <c r="A87" s="3" t="s">
        <v>712</v>
      </c>
      <c r="B87" s="12" t="s">
        <v>327</v>
      </c>
      <c r="C87" s="3" t="s">
        <v>87</v>
      </c>
      <c r="D87" s="7">
        <f>IFERROR(SUMIFS(ENTRADASOF[CANTIDAD],ENTRADASOF[DESCRIPCIÓN],INVENTARIOOFICINA[[#This Row],[DESCRIPCIÓN ]],ENTRADASOF[LOTE],INVENTARIOOFICINA[[#This Row],[LOTE]]),"-")</f>
        <v>4</v>
      </c>
      <c r="E87" s="7">
        <f>IFERROR(SUMIFS(SALIDASOF[CANTIDAD],SALIDASOF[DESCRIPCIÓN],INVENTARIOOFICINA[[#This Row],[DESCRIPCIÓN ]],SALIDASOF[LOTE],INVENTARIOOFICINA[[#This Row],[LOTE]]),"-")</f>
        <v>0</v>
      </c>
      <c r="F87" s="19">
        <f>INVENTARIOOFICINA[[#This Row],[ENTRADAS]]-INVENTARIOOFICINA[[#This Row],[SALIDAS]]</f>
        <v>4</v>
      </c>
      <c r="G87" s="3"/>
      <c r="H87" s="14">
        <f>INVENTARIOOFICINA[[#This Row],[PRECIO UNITARIO ]]*INVENTARIOOFICINA[[#This Row],[STOCK ACTUAL ]]</f>
        <v>0</v>
      </c>
    </row>
    <row r="88" spans="1:8" s="16" customFormat="1" ht="15" customHeight="1" x14ac:dyDescent="0.2">
      <c r="A88" s="3" t="s">
        <v>713</v>
      </c>
      <c r="B88" s="12" t="s">
        <v>331</v>
      </c>
      <c r="C88" s="3" t="s">
        <v>87</v>
      </c>
      <c r="D88" s="7">
        <f>IFERROR(SUMIFS(ENTRADASOF[CANTIDAD],ENTRADASOF[DESCRIPCIÓN],INVENTARIOOFICINA[[#This Row],[DESCRIPCIÓN ]],ENTRADASOF[LOTE],INVENTARIOOFICINA[[#This Row],[LOTE]]),"-")</f>
        <v>0</v>
      </c>
      <c r="E88" s="7">
        <f>IFERROR(SUMIFS(SALIDASOF[CANTIDAD],SALIDASOF[DESCRIPCIÓN],INVENTARIOOFICINA[[#This Row],[DESCRIPCIÓN ]],SALIDASOF[LOTE],INVENTARIOOFICINA[[#This Row],[LOTE]]),"-")</f>
        <v>0</v>
      </c>
      <c r="F88" s="19">
        <f>INVENTARIOOFICINA[[#This Row],[ENTRADAS]]-INVENTARIOOFICINA[[#This Row],[SALIDAS]]</f>
        <v>0</v>
      </c>
      <c r="G88" s="3"/>
      <c r="H88" s="14">
        <f>INVENTARIOOFICINA[[#This Row],[PRECIO UNITARIO ]]*INVENTARIOOFICINA[[#This Row],[STOCK ACTUAL ]]</f>
        <v>0</v>
      </c>
    </row>
    <row r="89" spans="1:8" x14ac:dyDescent="0.2">
      <c r="A89" s="3" t="s">
        <v>714</v>
      </c>
      <c r="B89" s="12" t="s">
        <v>329</v>
      </c>
      <c r="C89" s="3" t="s">
        <v>87</v>
      </c>
      <c r="D89" s="7">
        <f>IFERROR(SUMIFS(ENTRADASOF[CANTIDAD],ENTRADASOF[DESCRIPCIÓN],INVENTARIOOFICINA[[#This Row],[DESCRIPCIÓN ]],ENTRADASOF[LOTE],INVENTARIOOFICINA[[#This Row],[LOTE]]),"-")</f>
        <v>12</v>
      </c>
      <c r="E89" s="7">
        <f>IFERROR(SUMIFS(SALIDASOF[CANTIDAD],SALIDASOF[DESCRIPCIÓN],INVENTARIOOFICINA[[#This Row],[DESCRIPCIÓN ]],SALIDASOF[LOTE],INVENTARIOOFICINA[[#This Row],[LOTE]]),"-")</f>
        <v>0</v>
      </c>
      <c r="F89" s="19">
        <f>INVENTARIOOFICINA[[#This Row],[ENTRADAS]]-INVENTARIOOFICINA[[#This Row],[SALIDAS]]</f>
        <v>12</v>
      </c>
      <c r="G89" s="3"/>
      <c r="H89" s="14">
        <f>INVENTARIOOFICINA[[#This Row],[PRECIO UNITARIO ]]*INVENTARIOOFICINA[[#This Row],[STOCK ACTUAL ]]</f>
        <v>0</v>
      </c>
    </row>
    <row r="90" spans="1:8" x14ac:dyDescent="0.2">
      <c r="A90" s="3" t="s">
        <v>715</v>
      </c>
      <c r="B90" s="12" t="s">
        <v>328</v>
      </c>
      <c r="C90" s="3" t="s">
        <v>87</v>
      </c>
      <c r="D90" s="7">
        <f>IFERROR(SUMIFS(ENTRADASOF[CANTIDAD],ENTRADASOF[DESCRIPCIÓN],INVENTARIOOFICINA[[#This Row],[DESCRIPCIÓN ]],ENTRADASOF[LOTE],INVENTARIOOFICINA[[#This Row],[LOTE]]),"-")</f>
        <v>2</v>
      </c>
      <c r="E90" s="7">
        <f>IFERROR(SUMIFS(SALIDASOF[CANTIDAD],SALIDASOF[DESCRIPCIÓN],INVENTARIOOFICINA[[#This Row],[DESCRIPCIÓN ]],SALIDASOF[LOTE],INVENTARIOOFICINA[[#This Row],[LOTE]]),"-")</f>
        <v>0</v>
      </c>
      <c r="F90" s="19">
        <f>INVENTARIOOFICINA[[#This Row],[ENTRADAS]]-INVENTARIOOFICINA[[#This Row],[SALIDAS]]</f>
        <v>2</v>
      </c>
      <c r="G90" s="3"/>
      <c r="H90" s="14">
        <f>INVENTARIOOFICINA[[#This Row],[PRECIO UNITARIO ]]*INVENTARIOOFICINA[[#This Row],[STOCK ACTUAL ]]</f>
        <v>0</v>
      </c>
    </row>
    <row r="91" spans="1:8" x14ac:dyDescent="0.2">
      <c r="A91" s="3" t="s">
        <v>716</v>
      </c>
      <c r="B91" s="12" t="s">
        <v>330</v>
      </c>
      <c r="C91" s="3" t="s">
        <v>87</v>
      </c>
      <c r="D91" s="7">
        <f>IFERROR(SUMIFS(ENTRADASOF[CANTIDAD],ENTRADASOF[DESCRIPCIÓN],INVENTARIOOFICINA[[#This Row],[DESCRIPCIÓN ]],ENTRADASOF[LOTE],INVENTARIOOFICINA[[#This Row],[LOTE]]),"-")</f>
        <v>197</v>
      </c>
      <c r="E91" s="7">
        <f>IFERROR(SUMIFS(SALIDASOF[CANTIDAD],SALIDASOF[DESCRIPCIÓN],INVENTARIOOFICINA[[#This Row],[DESCRIPCIÓN ]],SALIDASOF[LOTE],INVENTARIOOFICINA[[#This Row],[LOTE]]),"-")</f>
        <v>0</v>
      </c>
      <c r="F91" s="19">
        <f>INVENTARIOOFICINA[[#This Row],[ENTRADAS]]-INVENTARIOOFICINA[[#This Row],[SALIDAS]]</f>
        <v>197</v>
      </c>
      <c r="G91" s="3"/>
      <c r="H91" s="14">
        <f>INVENTARIOOFICINA[[#This Row],[PRECIO UNITARIO ]]*INVENTARIOOFICINA[[#This Row],[STOCK ACTUAL ]]</f>
        <v>0</v>
      </c>
    </row>
    <row r="92" spans="1:8" x14ac:dyDescent="0.2">
      <c r="A92" s="3" t="s">
        <v>717</v>
      </c>
      <c r="B92" s="12" t="s">
        <v>369</v>
      </c>
      <c r="C92" s="3" t="s">
        <v>87</v>
      </c>
      <c r="D92" s="7">
        <f>IFERROR(SUMIFS(ENTRADASOF[CANTIDAD],ENTRADASOF[DESCRIPCIÓN],INVENTARIOOFICINA[[#This Row],[DESCRIPCIÓN ]],ENTRADASOF[LOTE],INVENTARIOOFICINA[[#This Row],[LOTE]]),"-")</f>
        <v>5</v>
      </c>
      <c r="E92" s="7">
        <f>IFERROR(SUMIFS(SALIDASOF[CANTIDAD],SALIDASOF[DESCRIPCIÓN],INVENTARIOOFICINA[[#This Row],[DESCRIPCIÓN ]],SALIDASOF[LOTE],INVENTARIOOFICINA[[#This Row],[LOTE]]),"-")</f>
        <v>0</v>
      </c>
      <c r="F92" s="19">
        <f>INVENTARIOOFICINA[[#This Row],[ENTRADAS]]-INVENTARIOOFICINA[[#This Row],[SALIDAS]]</f>
        <v>5</v>
      </c>
      <c r="G92" s="3"/>
      <c r="H92" s="14">
        <f>INVENTARIOOFICINA[[#This Row],[PRECIO UNITARIO ]]*INVENTARIOOFICINA[[#This Row],[STOCK ACTUAL ]]</f>
        <v>0</v>
      </c>
    </row>
    <row r="93" spans="1:8" x14ac:dyDescent="0.2">
      <c r="A93" s="3" t="s">
        <v>718</v>
      </c>
      <c r="B93" s="12" t="s">
        <v>368</v>
      </c>
      <c r="C93" s="3" t="s">
        <v>87</v>
      </c>
      <c r="D93" s="7">
        <f>IFERROR(SUMIFS(ENTRADASOF[CANTIDAD],ENTRADASOF[DESCRIPCIÓN],INVENTARIOOFICINA[[#This Row],[DESCRIPCIÓN ]],ENTRADASOF[LOTE],INVENTARIOOFICINA[[#This Row],[LOTE]]),"-")</f>
        <v>3</v>
      </c>
      <c r="E93" s="7">
        <f>IFERROR(SUMIFS(SALIDASOF[CANTIDAD],SALIDASOF[DESCRIPCIÓN],INVENTARIOOFICINA[[#This Row],[DESCRIPCIÓN ]],SALIDASOF[LOTE],INVENTARIOOFICINA[[#This Row],[LOTE]]),"-")</f>
        <v>1</v>
      </c>
      <c r="F93" s="19">
        <f>INVENTARIOOFICINA[[#This Row],[ENTRADAS]]-INVENTARIOOFICINA[[#This Row],[SALIDAS]]</f>
        <v>2</v>
      </c>
      <c r="G93" s="3"/>
      <c r="H93" s="14">
        <f>INVENTARIOOFICINA[[#This Row],[PRECIO UNITARIO ]]*INVENTARIOOFICINA[[#This Row],[STOCK ACTUAL ]]</f>
        <v>0</v>
      </c>
    </row>
    <row r="94" spans="1:8" ht="16" x14ac:dyDescent="0.2">
      <c r="A94" s="2" t="s">
        <v>719</v>
      </c>
      <c r="B94" s="2" t="s">
        <v>419</v>
      </c>
      <c r="C94" s="3" t="s">
        <v>145</v>
      </c>
      <c r="D94" s="15">
        <f>IFERROR(SUMIFS(ENTRADASOF[CANTIDAD],ENTRADASOF[DESCRIPCIÓN],INVENTARIOOFICINA[[#This Row],[DESCRIPCIÓN ]],ENTRADASOF[LOTE],INVENTARIOOFICINA[[#This Row],[LOTE]]),"-")</f>
        <v>1</v>
      </c>
      <c r="E94" s="15">
        <f>IFERROR(SUMIFS(SALIDASOF[CANTIDAD],SALIDASOF[DESCRIPCIÓN],INVENTARIOOFICINA[[#This Row],[DESCRIPCIÓN ]],SALIDASOF[LOTE],INVENTARIOOFICINA[[#This Row],[LOTE]]),"-")</f>
        <v>0</v>
      </c>
      <c r="F94" s="20">
        <f>INVENTARIOOFICINA[[#This Row],[ENTRADAS]]-INVENTARIOOFICINA[[#This Row],[SALIDAS]]</f>
        <v>1</v>
      </c>
      <c r="H94" s="14">
        <f>INVENTARIOOFICINA[[#This Row],[PRECIO UNITARIO ]]*INVENTARIOOFICINA[[#This Row],[STOCK ACTUAL ]]</f>
        <v>0</v>
      </c>
    </row>
    <row r="95" spans="1:8" ht="16" x14ac:dyDescent="0.2">
      <c r="A95" s="2" t="s">
        <v>720</v>
      </c>
      <c r="B95" s="2" t="s">
        <v>420</v>
      </c>
      <c r="C95" s="3" t="s">
        <v>145</v>
      </c>
      <c r="D95" s="15">
        <f>IFERROR(SUMIFS(ENTRADASOF[CANTIDAD],ENTRADASOF[DESCRIPCIÓN],INVENTARIOOFICINA[[#This Row],[DESCRIPCIÓN ]],ENTRADASOF[LOTE],INVENTARIOOFICINA[[#This Row],[LOTE]]),"-")</f>
        <v>1</v>
      </c>
      <c r="E95" s="15">
        <f>IFERROR(SUMIFS(SALIDASOF[CANTIDAD],SALIDASOF[DESCRIPCIÓN],INVENTARIOOFICINA[[#This Row],[DESCRIPCIÓN ]],SALIDASOF[LOTE],INVENTARIOOFICINA[[#This Row],[LOTE]]),"-")</f>
        <v>0</v>
      </c>
      <c r="F95" s="20">
        <f>INVENTARIOOFICINA[[#This Row],[ENTRADAS]]-INVENTARIOOFICINA[[#This Row],[SALIDAS]]</f>
        <v>1</v>
      </c>
      <c r="H95" s="14">
        <f>INVENTARIOOFICINA[[#This Row],[PRECIO UNITARIO ]]*INVENTARIOOFICINA[[#This Row],[STOCK ACTUAL ]]</f>
        <v>0</v>
      </c>
    </row>
    <row r="96" spans="1:8" ht="16" x14ac:dyDescent="0.2">
      <c r="A96" s="2" t="s">
        <v>721</v>
      </c>
      <c r="B96" s="2" t="s">
        <v>398</v>
      </c>
      <c r="C96" s="3" t="s">
        <v>145</v>
      </c>
      <c r="D96" s="15">
        <f>IFERROR(SUMIFS(ENTRADASOF[CANTIDAD],ENTRADASOF[DESCRIPCIÓN],INVENTARIOOFICINA[[#This Row],[DESCRIPCIÓN ]],ENTRADASOF[LOTE],INVENTARIOOFICINA[[#This Row],[LOTE]]),"-")</f>
        <v>1</v>
      </c>
      <c r="E96" s="15">
        <f>IFERROR(SUMIFS(SALIDASOF[CANTIDAD],SALIDASOF[DESCRIPCIÓN],INVENTARIOOFICINA[[#This Row],[DESCRIPCIÓN ]],SALIDASOF[LOTE],INVENTARIOOFICINA[[#This Row],[LOTE]]),"-")</f>
        <v>0</v>
      </c>
      <c r="F96" s="20">
        <f>INVENTARIOOFICINA[[#This Row],[ENTRADAS]]-INVENTARIOOFICINA[[#This Row],[SALIDAS]]</f>
        <v>1</v>
      </c>
      <c r="H96" s="14">
        <f>INVENTARIOOFICINA[[#This Row],[PRECIO UNITARIO ]]*INVENTARIOOFICINA[[#This Row],[STOCK ACTUAL ]]</f>
        <v>0</v>
      </c>
    </row>
    <row r="97" spans="1:8" x14ac:dyDescent="0.2">
      <c r="A97" s="3" t="s">
        <v>722</v>
      </c>
      <c r="B97" s="12" t="s">
        <v>372</v>
      </c>
      <c r="C97" s="3" t="s">
        <v>145</v>
      </c>
      <c r="D97" s="7">
        <f>IFERROR(SUMIFS(ENTRADASOF[CANTIDAD],ENTRADASOF[DESCRIPCIÓN],INVENTARIOOFICINA[[#This Row],[DESCRIPCIÓN ]],ENTRADASOF[LOTE],INVENTARIOOFICINA[[#This Row],[LOTE]]),"-")</f>
        <v>1</v>
      </c>
      <c r="E97" s="7">
        <f>IFERROR(SUMIFS(SALIDASOF[CANTIDAD],SALIDASOF[DESCRIPCIÓN],INVENTARIOOFICINA[[#This Row],[DESCRIPCIÓN ]],SALIDASOF[LOTE],INVENTARIOOFICINA[[#This Row],[LOTE]]),"-")</f>
        <v>0</v>
      </c>
      <c r="F97" s="19">
        <f>INVENTARIOOFICINA[[#This Row],[ENTRADAS]]-INVENTARIOOFICINA[[#This Row],[SALIDAS]]</f>
        <v>1</v>
      </c>
      <c r="G97" s="3"/>
      <c r="H97" s="14">
        <f>INVENTARIOOFICINA[[#This Row],[PRECIO UNITARIO ]]*INVENTARIOOFICINA[[#This Row],[STOCK ACTUAL ]]</f>
        <v>0</v>
      </c>
    </row>
    <row r="98" spans="1:8" x14ac:dyDescent="0.2">
      <c r="A98" s="3" t="s">
        <v>723</v>
      </c>
      <c r="B98" s="12" t="s">
        <v>356</v>
      </c>
      <c r="C98" s="3" t="s">
        <v>145</v>
      </c>
      <c r="D98" s="7">
        <f>IFERROR(SUMIFS(ENTRADASOF[CANTIDAD],ENTRADASOF[DESCRIPCIÓN],INVENTARIOOFICINA[[#This Row],[DESCRIPCIÓN ]],ENTRADASOF[LOTE],INVENTARIOOFICINA[[#This Row],[LOTE]]),"-")</f>
        <v>4</v>
      </c>
      <c r="E98" s="7">
        <f>IFERROR(SUMIFS(SALIDASOF[CANTIDAD],SALIDASOF[DESCRIPCIÓN],INVENTARIOOFICINA[[#This Row],[DESCRIPCIÓN ]],SALIDASOF[LOTE],INVENTARIOOFICINA[[#This Row],[LOTE]]),"-")</f>
        <v>2</v>
      </c>
      <c r="F98" s="19">
        <f>INVENTARIOOFICINA[[#This Row],[ENTRADAS]]-INVENTARIOOFICINA[[#This Row],[SALIDAS]]</f>
        <v>2</v>
      </c>
      <c r="G98" s="3"/>
      <c r="H98" s="14">
        <f>INVENTARIOOFICINA[[#This Row],[PRECIO UNITARIO ]]*INVENTARIOOFICINA[[#This Row],[STOCK ACTUAL ]]</f>
        <v>0</v>
      </c>
    </row>
    <row r="99" spans="1:8" x14ac:dyDescent="0.2">
      <c r="A99" s="3" t="s">
        <v>724</v>
      </c>
      <c r="B99" s="12" t="s">
        <v>357</v>
      </c>
      <c r="C99" s="3" t="s">
        <v>145</v>
      </c>
      <c r="D99" s="7">
        <f>IFERROR(SUMIFS(ENTRADASOF[CANTIDAD],ENTRADASOF[DESCRIPCIÓN],INVENTARIOOFICINA[[#This Row],[DESCRIPCIÓN ]],ENTRADASOF[LOTE],INVENTARIOOFICINA[[#This Row],[LOTE]]),"-")</f>
        <v>5</v>
      </c>
      <c r="E99" s="7">
        <f>IFERROR(SUMIFS(SALIDASOF[CANTIDAD],SALIDASOF[DESCRIPCIÓN],INVENTARIOOFICINA[[#This Row],[DESCRIPCIÓN ]],SALIDASOF[LOTE],INVENTARIOOFICINA[[#This Row],[LOTE]]),"-")</f>
        <v>0</v>
      </c>
      <c r="F99" s="19">
        <f>INVENTARIOOFICINA[[#This Row],[ENTRADAS]]-INVENTARIOOFICINA[[#This Row],[SALIDAS]]</f>
        <v>5</v>
      </c>
      <c r="G99" s="3"/>
      <c r="H99" s="14">
        <f>INVENTARIOOFICINA[[#This Row],[PRECIO UNITARIO ]]*INVENTARIOOFICINA[[#This Row],[STOCK ACTUAL ]]</f>
        <v>0</v>
      </c>
    </row>
    <row r="100" spans="1:8" ht="16" x14ac:dyDescent="0.2">
      <c r="A100" s="2" t="s">
        <v>725</v>
      </c>
      <c r="B100" s="2" t="s">
        <v>446</v>
      </c>
      <c r="C100" s="3" t="s">
        <v>468</v>
      </c>
      <c r="D100" s="15">
        <f>IFERROR(SUMIFS(ENTRADASOF[CANTIDAD],ENTRADASOF[DESCRIPCIÓN],INVENTARIOOFICINA[[#This Row],[DESCRIPCIÓN ]],ENTRADASOF[LOTE],INVENTARIOOFICINA[[#This Row],[LOTE]]),"-")</f>
        <v>2</v>
      </c>
      <c r="E100" s="15">
        <f>IFERROR(SUMIFS(SALIDASOF[CANTIDAD],SALIDASOF[DESCRIPCIÓN],INVENTARIOOFICINA[[#This Row],[DESCRIPCIÓN ]],SALIDASOF[LOTE],INVENTARIOOFICINA[[#This Row],[LOTE]]),"-")</f>
        <v>0</v>
      </c>
      <c r="F100" s="20">
        <f>INVENTARIOOFICINA[[#This Row],[ENTRADAS]]-INVENTARIOOFICINA[[#This Row],[SALIDAS]]</f>
        <v>2</v>
      </c>
      <c r="H100" s="14">
        <f>INVENTARIOOFICINA[[#This Row],[PRECIO UNITARIO ]]*INVENTARIOOFICINA[[#This Row],[STOCK ACTUAL ]]</f>
        <v>0</v>
      </c>
    </row>
    <row r="101" spans="1:8" ht="16" x14ac:dyDescent="0.2">
      <c r="A101" s="2" t="s">
        <v>726</v>
      </c>
      <c r="B101" s="2" t="s">
        <v>428</v>
      </c>
      <c r="C101" s="3" t="s">
        <v>468</v>
      </c>
      <c r="D101" s="15">
        <f>IFERROR(SUMIFS(ENTRADASOF[CANTIDAD],ENTRADASOF[DESCRIPCIÓN],INVENTARIOOFICINA[[#This Row],[DESCRIPCIÓN ]],ENTRADASOF[LOTE],INVENTARIOOFICINA[[#This Row],[LOTE]]),"-")</f>
        <v>1</v>
      </c>
      <c r="E101" s="15">
        <f>IFERROR(SUMIFS(SALIDASOF[CANTIDAD],SALIDASOF[DESCRIPCIÓN],INVENTARIOOFICINA[[#This Row],[DESCRIPCIÓN ]],SALIDASOF[LOTE],INVENTARIOOFICINA[[#This Row],[LOTE]]),"-")</f>
        <v>0</v>
      </c>
      <c r="F101" s="20">
        <f>INVENTARIOOFICINA[[#This Row],[ENTRADAS]]-INVENTARIOOFICINA[[#This Row],[SALIDAS]]</f>
        <v>1</v>
      </c>
      <c r="H101" s="14">
        <f>INVENTARIOOFICINA[[#This Row],[PRECIO UNITARIO ]]*INVENTARIOOFICINA[[#This Row],[STOCK ACTUAL ]]</f>
        <v>0</v>
      </c>
    </row>
    <row r="102" spans="1:8" x14ac:dyDescent="0.2">
      <c r="A102" s="3" t="s">
        <v>727</v>
      </c>
      <c r="B102" s="12" t="s">
        <v>308</v>
      </c>
      <c r="C102" s="3" t="s">
        <v>6</v>
      </c>
      <c r="D102" s="7">
        <f>IFERROR(SUMIFS(ENTRADASOF[CANTIDAD],ENTRADASOF[DESCRIPCIÓN],INVENTARIOOFICINA[[#This Row],[DESCRIPCIÓN ]],ENTRADASOF[LOTE],INVENTARIOOFICINA[[#This Row],[LOTE]]),"-")</f>
        <v>11</v>
      </c>
      <c r="E102" s="7">
        <f>IFERROR(SUMIFS(SALIDASOF[CANTIDAD],SALIDASOF[DESCRIPCIÓN],INVENTARIOOFICINA[[#This Row],[DESCRIPCIÓN ]],SALIDASOF[LOTE],INVENTARIOOFICINA[[#This Row],[LOTE]]),"-")</f>
        <v>0</v>
      </c>
      <c r="F102" s="19">
        <f>INVENTARIOOFICINA[[#This Row],[ENTRADAS]]-INVENTARIOOFICINA[[#This Row],[SALIDAS]]</f>
        <v>11</v>
      </c>
      <c r="G102" s="3"/>
      <c r="H102" s="14">
        <f>INVENTARIOOFICINA[[#This Row],[PRECIO UNITARIO ]]*INVENTARIOOFICINA[[#This Row],[STOCK ACTUAL ]]</f>
        <v>0</v>
      </c>
    </row>
    <row r="103" spans="1:8" x14ac:dyDescent="0.2">
      <c r="A103" s="3" t="s">
        <v>728</v>
      </c>
      <c r="B103" s="12" t="s">
        <v>388</v>
      </c>
      <c r="C103" s="3" t="s">
        <v>6</v>
      </c>
      <c r="D103" s="7">
        <f>IFERROR(SUMIFS(ENTRADASOF[CANTIDAD],ENTRADASOF[DESCRIPCIÓN],INVENTARIOOFICINA[[#This Row],[DESCRIPCIÓN ]],ENTRADASOF[LOTE],INVENTARIOOFICINA[[#This Row],[LOTE]]),"-")</f>
        <v>6</v>
      </c>
      <c r="E103" s="7">
        <f>IFERROR(SUMIFS(SALIDASOF[CANTIDAD],SALIDASOF[DESCRIPCIÓN],INVENTARIOOFICINA[[#This Row],[DESCRIPCIÓN ]],SALIDASOF[LOTE],INVENTARIOOFICINA[[#This Row],[LOTE]]),"-")</f>
        <v>4</v>
      </c>
      <c r="F103" s="19">
        <f>INVENTARIOOFICINA[[#This Row],[ENTRADAS]]-INVENTARIOOFICINA[[#This Row],[SALIDAS]]</f>
        <v>2</v>
      </c>
      <c r="G103" s="3"/>
      <c r="H103" s="14">
        <f>INVENTARIOOFICINA[[#This Row],[PRECIO UNITARIO ]]*INVENTARIOOFICINA[[#This Row],[STOCK ACTUAL ]]</f>
        <v>0</v>
      </c>
    </row>
    <row r="104" spans="1:8" ht="15" customHeight="1" x14ac:dyDescent="0.2">
      <c r="A104" s="2" t="s">
        <v>729</v>
      </c>
      <c r="B104" s="2" t="s">
        <v>394</v>
      </c>
      <c r="C104" s="3" t="s">
        <v>86</v>
      </c>
      <c r="D104" s="15">
        <f>IFERROR(SUMIFS(ENTRADASOF[CANTIDAD],ENTRADASOF[DESCRIPCIÓN],INVENTARIOOFICINA[[#This Row],[DESCRIPCIÓN ]],ENTRADASOF[LOTE],INVENTARIOOFICINA[[#This Row],[LOTE]]),"-")</f>
        <v>2</v>
      </c>
      <c r="E104" s="15">
        <f>IFERROR(SUMIFS(SALIDASOF[CANTIDAD],SALIDASOF[DESCRIPCIÓN],INVENTARIOOFICINA[[#This Row],[DESCRIPCIÓN ]],SALIDASOF[LOTE],INVENTARIOOFICINA[[#This Row],[LOTE]]),"-")</f>
        <v>0</v>
      </c>
      <c r="F104" s="20">
        <f>INVENTARIOOFICINA[[#This Row],[ENTRADAS]]-INVENTARIOOFICINA[[#This Row],[SALIDAS]]</f>
        <v>2</v>
      </c>
      <c r="H104" s="14">
        <f>INVENTARIOOFICINA[[#This Row],[PRECIO UNITARIO ]]*INVENTARIOOFICINA[[#This Row],[STOCK ACTUAL ]]</f>
        <v>0</v>
      </c>
    </row>
    <row r="105" spans="1:8" ht="16" x14ac:dyDescent="0.2">
      <c r="A105" s="2" t="s">
        <v>730</v>
      </c>
      <c r="B105" s="2" t="s">
        <v>409</v>
      </c>
      <c r="C105" s="3" t="s">
        <v>86</v>
      </c>
      <c r="D105" s="15">
        <f>IFERROR(SUMIFS(ENTRADASOF[CANTIDAD],ENTRADASOF[DESCRIPCIÓN],INVENTARIOOFICINA[[#This Row],[DESCRIPCIÓN ]],ENTRADASOF[LOTE],INVENTARIOOFICINA[[#This Row],[LOTE]]),"-")</f>
        <v>2</v>
      </c>
      <c r="E105" s="15">
        <f>IFERROR(SUMIFS(SALIDASOF[CANTIDAD],SALIDASOF[DESCRIPCIÓN],INVENTARIOOFICINA[[#This Row],[DESCRIPCIÓN ]],SALIDASOF[LOTE],INVENTARIOOFICINA[[#This Row],[LOTE]]),"-")</f>
        <v>0</v>
      </c>
      <c r="F105" s="20">
        <f>INVENTARIOOFICINA[[#This Row],[ENTRADAS]]-INVENTARIOOFICINA[[#This Row],[SALIDAS]]</f>
        <v>2</v>
      </c>
      <c r="H105" s="14">
        <f>INVENTARIOOFICINA[[#This Row],[PRECIO UNITARIO ]]*INVENTARIOOFICINA[[#This Row],[STOCK ACTUAL ]]</f>
        <v>0</v>
      </c>
    </row>
    <row r="106" spans="1:8" ht="16" x14ac:dyDescent="0.2">
      <c r="A106" s="2" t="s">
        <v>731</v>
      </c>
      <c r="B106" s="2" t="s">
        <v>410</v>
      </c>
      <c r="C106" s="3" t="s">
        <v>86</v>
      </c>
      <c r="D106" s="15">
        <f>IFERROR(SUMIFS(ENTRADASOF[CANTIDAD],ENTRADASOF[DESCRIPCIÓN],INVENTARIOOFICINA[[#This Row],[DESCRIPCIÓN ]],ENTRADASOF[LOTE],INVENTARIOOFICINA[[#This Row],[LOTE]]),"-")</f>
        <v>2</v>
      </c>
      <c r="E106" s="15">
        <f>IFERROR(SUMIFS(SALIDASOF[CANTIDAD],SALIDASOF[DESCRIPCIÓN],INVENTARIOOFICINA[[#This Row],[DESCRIPCIÓN ]],SALIDASOF[LOTE],INVENTARIOOFICINA[[#This Row],[LOTE]]),"-")</f>
        <v>0</v>
      </c>
      <c r="F106" s="20">
        <f>INVENTARIOOFICINA[[#This Row],[ENTRADAS]]-INVENTARIOOFICINA[[#This Row],[SALIDAS]]</f>
        <v>2</v>
      </c>
      <c r="H106" s="14">
        <f>INVENTARIOOFICINA[[#This Row],[PRECIO UNITARIO ]]*INVENTARIOOFICINA[[#This Row],[STOCK ACTUAL ]]</f>
        <v>0</v>
      </c>
    </row>
    <row r="107" spans="1:8" ht="16" x14ac:dyDescent="0.2">
      <c r="A107" s="2" t="s">
        <v>732</v>
      </c>
      <c r="B107" s="2" t="s">
        <v>411</v>
      </c>
      <c r="C107" s="3" t="s">
        <v>86</v>
      </c>
      <c r="D107" s="15">
        <f>IFERROR(SUMIFS(ENTRADASOF[CANTIDAD],ENTRADASOF[DESCRIPCIÓN],INVENTARIOOFICINA[[#This Row],[DESCRIPCIÓN ]],ENTRADASOF[LOTE],INVENTARIOOFICINA[[#This Row],[LOTE]]),"-")</f>
        <v>2</v>
      </c>
      <c r="E107" s="15">
        <f>IFERROR(SUMIFS(SALIDASOF[CANTIDAD],SALIDASOF[DESCRIPCIÓN],INVENTARIOOFICINA[[#This Row],[DESCRIPCIÓN ]],SALIDASOF[LOTE],INVENTARIOOFICINA[[#This Row],[LOTE]]),"-")</f>
        <v>0</v>
      </c>
      <c r="F107" s="20">
        <f>INVENTARIOOFICINA[[#This Row],[ENTRADAS]]-INVENTARIOOFICINA[[#This Row],[SALIDAS]]</f>
        <v>2</v>
      </c>
      <c r="H107" s="14">
        <f>INVENTARIOOFICINA[[#This Row],[PRECIO UNITARIO ]]*INVENTARIOOFICINA[[#This Row],[STOCK ACTUAL ]]</f>
        <v>0</v>
      </c>
    </row>
    <row r="108" spans="1:8" ht="16" x14ac:dyDescent="0.2">
      <c r="A108" s="2" t="s">
        <v>733</v>
      </c>
      <c r="B108" s="2" t="s">
        <v>412</v>
      </c>
      <c r="C108" s="3" t="s">
        <v>86</v>
      </c>
      <c r="D108" s="15">
        <f>IFERROR(SUMIFS(ENTRADASOF[CANTIDAD],ENTRADASOF[DESCRIPCIÓN],INVENTARIOOFICINA[[#This Row],[DESCRIPCIÓN ]],ENTRADASOF[LOTE],INVENTARIOOFICINA[[#This Row],[LOTE]]),"-")</f>
        <v>4</v>
      </c>
      <c r="E108" s="15">
        <f>IFERROR(SUMIFS(SALIDASOF[CANTIDAD],SALIDASOF[DESCRIPCIÓN],INVENTARIOOFICINA[[#This Row],[DESCRIPCIÓN ]],SALIDASOF[LOTE],INVENTARIOOFICINA[[#This Row],[LOTE]]),"-")</f>
        <v>0</v>
      </c>
      <c r="F108" s="20">
        <f>INVENTARIOOFICINA[[#This Row],[ENTRADAS]]-INVENTARIOOFICINA[[#This Row],[SALIDAS]]</f>
        <v>4</v>
      </c>
      <c r="H108" s="14">
        <f>INVENTARIOOFICINA[[#This Row],[PRECIO UNITARIO ]]*INVENTARIOOFICINA[[#This Row],[STOCK ACTUAL ]]</f>
        <v>0</v>
      </c>
    </row>
    <row r="109" spans="1:8" x14ac:dyDescent="0.2">
      <c r="A109" s="3" t="s">
        <v>734</v>
      </c>
      <c r="B109" s="12" t="s">
        <v>326</v>
      </c>
      <c r="C109" s="3" t="s">
        <v>86</v>
      </c>
      <c r="D109" s="7">
        <f>IFERROR(SUMIFS(ENTRADASOF[CANTIDAD],ENTRADASOF[DESCRIPCIÓN],INVENTARIOOFICINA[[#This Row],[DESCRIPCIÓN ]],ENTRADASOF[LOTE],INVENTARIOOFICINA[[#This Row],[LOTE]]),"-")</f>
        <v>2</v>
      </c>
      <c r="E109" s="7">
        <f>IFERROR(SUMIFS(SALIDASOF[CANTIDAD],SALIDASOF[DESCRIPCIÓN],INVENTARIOOFICINA[[#This Row],[DESCRIPCIÓN ]],SALIDASOF[LOTE],INVENTARIOOFICINA[[#This Row],[LOTE]]),"-")</f>
        <v>0</v>
      </c>
      <c r="F109" s="19">
        <f>INVENTARIOOFICINA[[#This Row],[ENTRADAS]]-INVENTARIOOFICINA[[#This Row],[SALIDAS]]</f>
        <v>2</v>
      </c>
      <c r="G109" s="3"/>
      <c r="H109" s="14">
        <f>INVENTARIOOFICINA[[#This Row],[PRECIO UNITARIO ]]*INVENTARIOOFICINA[[#This Row],[STOCK ACTUAL ]]</f>
        <v>0</v>
      </c>
    </row>
    <row r="110" spans="1:8" ht="16" x14ac:dyDescent="0.2">
      <c r="A110" s="2" t="s">
        <v>735</v>
      </c>
      <c r="B110" s="2" t="s">
        <v>414</v>
      </c>
      <c r="C110" s="3" t="s">
        <v>86</v>
      </c>
      <c r="D110" s="15">
        <f>IFERROR(SUMIFS(ENTRADASOF[CANTIDAD],ENTRADASOF[DESCRIPCIÓN],INVENTARIOOFICINA[[#This Row],[DESCRIPCIÓN ]],ENTRADASOF[LOTE],INVENTARIOOFICINA[[#This Row],[LOTE]]),"-")</f>
        <v>1</v>
      </c>
      <c r="E110" s="15">
        <f>IFERROR(SUMIFS(SALIDASOF[CANTIDAD],SALIDASOF[DESCRIPCIÓN],INVENTARIOOFICINA[[#This Row],[DESCRIPCIÓN ]],SALIDASOF[LOTE],INVENTARIOOFICINA[[#This Row],[LOTE]]),"-")</f>
        <v>0</v>
      </c>
      <c r="F110" s="20">
        <f>INVENTARIOOFICINA[[#This Row],[ENTRADAS]]-INVENTARIOOFICINA[[#This Row],[SALIDAS]]</f>
        <v>1</v>
      </c>
      <c r="H110" s="14">
        <f>INVENTARIOOFICINA[[#This Row],[PRECIO UNITARIO ]]*INVENTARIOOFICINA[[#This Row],[STOCK ACTUAL ]]</f>
        <v>0</v>
      </c>
    </row>
    <row r="111" spans="1:8" ht="16" x14ac:dyDescent="0.2">
      <c r="A111" s="2" t="s">
        <v>736</v>
      </c>
      <c r="B111" s="2" t="s">
        <v>413</v>
      </c>
      <c r="C111" s="3" t="s">
        <v>86</v>
      </c>
      <c r="D111" s="15">
        <f>IFERROR(SUMIFS(ENTRADASOF[CANTIDAD],ENTRADASOF[DESCRIPCIÓN],INVENTARIOOFICINA[[#This Row],[DESCRIPCIÓN ]],ENTRADASOF[LOTE],INVENTARIOOFICINA[[#This Row],[LOTE]]),"-")</f>
        <v>1</v>
      </c>
      <c r="E111" s="15">
        <f>IFERROR(SUMIFS(SALIDASOF[CANTIDAD],SALIDASOF[DESCRIPCIÓN],INVENTARIOOFICINA[[#This Row],[DESCRIPCIÓN ]],SALIDASOF[LOTE],INVENTARIOOFICINA[[#This Row],[LOTE]]),"-")</f>
        <v>0</v>
      </c>
      <c r="F111" s="20">
        <f>INVENTARIOOFICINA[[#This Row],[ENTRADAS]]-INVENTARIOOFICINA[[#This Row],[SALIDAS]]</f>
        <v>1</v>
      </c>
      <c r="H111" s="14">
        <f>INVENTARIOOFICINA[[#This Row],[PRECIO UNITARIO ]]*INVENTARIOOFICINA[[#This Row],[STOCK ACTUAL ]]</f>
        <v>0</v>
      </c>
    </row>
    <row r="112" spans="1:8" ht="16" x14ac:dyDescent="0.2">
      <c r="A112" s="2" t="s">
        <v>737</v>
      </c>
      <c r="B112" s="2" t="s">
        <v>442</v>
      </c>
      <c r="C112" s="3" t="s">
        <v>474</v>
      </c>
      <c r="D112" s="15">
        <f>IFERROR(SUMIFS(ENTRADASOF[CANTIDAD],ENTRADASOF[DESCRIPCIÓN],INVENTARIOOFICINA[[#This Row],[DESCRIPCIÓN ]],ENTRADASOF[LOTE],INVENTARIOOFICINA[[#This Row],[LOTE]]),"-")</f>
        <v>3</v>
      </c>
      <c r="E112" s="15">
        <f>IFERROR(SUMIFS(SALIDASOF[CANTIDAD],SALIDASOF[DESCRIPCIÓN],INVENTARIOOFICINA[[#This Row],[DESCRIPCIÓN ]],SALIDASOF[LOTE],INVENTARIOOFICINA[[#This Row],[LOTE]]),"-")</f>
        <v>0</v>
      </c>
      <c r="F112" s="20">
        <f>INVENTARIOOFICINA[[#This Row],[ENTRADAS]]-INVENTARIOOFICINA[[#This Row],[SALIDAS]]</f>
        <v>3</v>
      </c>
      <c r="H112" s="14">
        <f>INVENTARIOOFICINA[[#This Row],[PRECIO UNITARIO ]]*INVENTARIOOFICINA[[#This Row],[STOCK ACTUAL ]]</f>
        <v>0</v>
      </c>
    </row>
    <row r="113" spans="1:8" x14ac:dyDescent="0.2">
      <c r="A113" s="3" t="s">
        <v>738</v>
      </c>
      <c r="B113" s="12" t="s">
        <v>344</v>
      </c>
      <c r="C113" s="3" t="s">
        <v>92</v>
      </c>
      <c r="D113" s="7">
        <f>IFERROR(SUMIFS(ENTRADASOF[CANTIDAD],ENTRADASOF[DESCRIPCIÓN],INVENTARIOOFICINA[[#This Row],[DESCRIPCIÓN ]],ENTRADASOF[LOTE],INVENTARIOOFICINA[[#This Row],[LOTE]]),"-")</f>
        <v>2</v>
      </c>
      <c r="E113" s="7">
        <f>IFERROR(SUMIFS(SALIDASOF[CANTIDAD],SALIDASOF[DESCRIPCIÓN],INVENTARIOOFICINA[[#This Row],[DESCRIPCIÓN ]],SALIDASOF[LOTE],INVENTARIOOFICINA[[#This Row],[LOTE]]),"-")</f>
        <v>0</v>
      </c>
      <c r="F113" s="19">
        <f>INVENTARIOOFICINA[[#This Row],[ENTRADAS]]-INVENTARIOOFICINA[[#This Row],[SALIDAS]]</f>
        <v>2</v>
      </c>
      <c r="G113" s="3"/>
      <c r="H113" s="14">
        <f>INVENTARIOOFICINA[[#This Row],[PRECIO UNITARIO ]]*INVENTARIOOFICINA[[#This Row],[STOCK ACTUAL ]]</f>
        <v>0</v>
      </c>
    </row>
    <row r="114" spans="1:8" x14ac:dyDescent="0.2">
      <c r="A114" s="3" t="s">
        <v>739</v>
      </c>
      <c r="B114" s="12" t="s">
        <v>345</v>
      </c>
      <c r="C114" s="3" t="s">
        <v>92</v>
      </c>
      <c r="D114" s="7">
        <f>IFERROR(SUMIFS(ENTRADASOF[CANTIDAD],ENTRADASOF[DESCRIPCIÓN],INVENTARIOOFICINA[[#This Row],[DESCRIPCIÓN ]],ENTRADASOF[LOTE],INVENTARIOOFICINA[[#This Row],[LOTE]]),"-")</f>
        <v>2</v>
      </c>
      <c r="E114" s="7">
        <f>IFERROR(SUMIFS(SALIDASOF[CANTIDAD],SALIDASOF[DESCRIPCIÓN],INVENTARIOOFICINA[[#This Row],[DESCRIPCIÓN ]],SALIDASOF[LOTE],INVENTARIOOFICINA[[#This Row],[LOTE]]),"-")</f>
        <v>0</v>
      </c>
      <c r="F114" s="19">
        <f>INVENTARIOOFICINA[[#This Row],[ENTRADAS]]-INVENTARIOOFICINA[[#This Row],[SALIDAS]]</f>
        <v>2</v>
      </c>
      <c r="G114" s="3"/>
      <c r="H114" s="14">
        <f>INVENTARIOOFICINA[[#This Row],[PRECIO UNITARIO ]]*INVENTARIOOFICINA[[#This Row],[STOCK ACTUAL ]]</f>
        <v>0</v>
      </c>
    </row>
    <row r="115" spans="1:8" ht="16" x14ac:dyDescent="0.2">
      <c r="A115" s="2" t="s">
        <v>740</v>
      </c>
      <c r="B115" s="2" t="s">
        <v>422</v>
      </c>
      <c r="C115" s="3" t="s">
        <v>466</v>
      </c>
      <c r="D115" s="15">
        <f>IFERROR(SUMIFS(ENTRADASOF[CANTIDAD],ENTRADASOF[DESCRIPCIÓN],INVENTARIOOFICINA[[#This Row],[DESCRIPCIÓN ]],ENTRADASOF[LOTE],INVENTARIOOFICINA[[#This Row],[LOTE]]),"-")</f>
        <v>1</v>
      </c>
      <c r="E115" s="15">
        <f>IFERROR(SUMIFS(SALIDASOF[CANTIDAD],SALIDASOF[DESCRIPCIÓN],INVENTARIOOFICINA[[#This Row],[DESCRIPCIÓN ]],SALIDASOF[LOTE],INVENTARIOOFICINA[[#This Row],[LOTE]]),"-")</f>
        <v>0</v>
      </c>
      <c r="F115" s="20">
        <f>INVENTARIOOFICINA[[#This Row],[ENTRADAS]]-INVENTARIOOFICINA[[#This Row],[SALIDAS]]</f>
        <v>1</v>
      </c>
      <c r="H115" s="14">
        <f>INVENTARIOOFICINA[[#This Row],[PRECIO UNITARIO ]]*INVENTARIOOFICINA[[#This Row],[STOCK ACTUAL ]]</f>
        <v>0</v>
      </c>
    </row>
    <row r="116" spans="1:8" ht="16" x14ac:dyDescent="0.2">
      <c r="A116" s="2" t="s">
        <v>741</v>
      </c>
      <c r="B116" s="2" t="s">
        <v>452</v>
      </c>
      <c r="C116" s="3" t="s">
        <v>476</v>
      </c>
      <c r="D116" s="15">
        <f>IFERROR(SUMIFS(ENTRADASOF[CANTIDAD],ENTRADASOF[DESCRIPCIÓN],INVENTARIOOFICINA[[#This Row],[DESCRIPCIÓN ]],ENTRADASOF[LOTE],INVENTARIOOFICINA[[#This Row],[LOTE]]),"-")</f>
        <v>1</v>
      </c>
      <c r="E116" s="15">
        <f>IFERROR(SUMIFS(SALIDASOF[CANTIDAD],SALIDASOF[DESCRIPCIÓN],INVENTARIOOFICINA[[#This Row],[DESCRIPCIÓN ]],SALIDASOF[LOTE],INVENTARIOOFICINA[[#This Row],[LOTE]]),"-")</f>
        <v>0</v>
      </c>
      <c r="F116" s="20">
        <f>INVENTARIOOFICINA[[#This Row],[ENTRADAS]]-INVENTARIOOFICINA[[#This Row],[SALIDAS]]</f>
        <v>1</v>
      </c>
      <c r="H116" s="14">
        <f>INVENTARIOOFICINA[[#This Row],[PRECIO UNITARIO ]]*INVENTARIOOFICINA[[#This Row],[STOCK ACTUAL ]]</f>
        <v>0</v>
      </c>
    </row>
    <row r="117" spans="1:8" ht="16" x14ac:dyDescent="0.2">
      <c r="A117" s="2" t="s">
        <v>742</v>
      </c>
      <c r="B117" s="2" t="s">
        <v>447</v>
      </c>
      <c r="C117" s="3" t="s">
        <v>476</v>
      </c>
      <c r="D117" s="15">
        <f>IFERROR(SUMIFS(ENTRADASOF[CANTIDAD],ENTRADASOF[DESCRIPCIÓN],INVENTARIOOFICINA[[#This Row],[DESCRIPCIÓN ]],ENTRADASOF[LOTE],INVENTARIOOFICINA[[#This Row],[LOTE]]),"-")</f>
        <v>1</v>
      </c>
      <c r="E117" s="15">
        <f>IFERROR(SUMIFS(SALIDASOF[CANTIDAD],SALIDASOF[DESCRIPCIÓN],INVENTARIOOFICINA[[#This Row],[DESCRIPCIÓN ]],SALIDASOF[LOTE],INVENTARIOOFICINA[[#This Row],[LOTE]]),"-")</f>
        <v>0</v>
      </c>
      <c r="F117" s="20">
        <f>INVENTARIOOFICINA[[#This Row],[ENTRADAS]]-INVENTARIOOFICINA[[#This Row],[SALIDAS]]</f>
        <v>1</v>
      </c>
      <c r="H117" s="14">
        <f>INVENTARIOOFICINA[[#This Row],[PRECIO UNITARIO ]]*INVENTARIOOFICINA[[#This Row],[STOCK ACTUAL ]]</f>
        <v>0</v>
      </c>
    </row>
    <row r="118" spans="1:8" ht="16" x14ac:dyDescent="0.2">
      <c r="A118" s="2" t="s">
        <v>743</v>
      </c>
      <c r="B118" s="2" t="s">
        <v>453</v>
      </c>
      <c r="C118" s="3" t="s">
        <v>476</v>
      </c>
      <c r="D118" s="15">
        <f>IFERROR(SUMIFS(ENTRADASOF[CANTIDAD],ENTRADASOF[DESCRIPCIÓN],INVENTARIOOFICINA[[#This Row],[DESCRIPCIÓN ]],ENTRADASOF[LOTE],INVENTARIOOFICINA[[#This Row],[LOTE]]),"-")</f>
        <v>1</v>
      </c>
      <c r="E118" s="15">
        <f>IFERROR(SUMIFS(SALIDASOF[CANTIDAD],SALIDASOF[DESCRIPCIÓN],INVENTARIOOFICINA[[#This Row],[DESCRIPCIÓN ]],SALIDASOF[LOTE],INVENTARIOOFICINA[[#This Row],[LOTE]]),"-")</f>
        <v>0</v>
      </c>
      <c r="F118" s="20">
        <f>INVENTARIOOFICINA[[#This Row],[ENTRADAS]]-INVENTARIOOFICINA[[#This Row],[SALIDAS]]</f>
        <v>1</v>
      </c>
      <c r="H118" s="14">
        <f>INVENTARIOOFICINA[[#This Row],[PRECIO UNITARIO ]]*INVENTARIOOFICINA[[#This Row],[STOCK ACTUAL ]]</f>
        <v>0</v>
      </c>
    </row>
    <row r="119" spans="1:8" ht="16" x14ac:dyDescent="0.2">
      <c r="A119" s="2" t="s">
        <v>744</v>
      </c>
      <c r="B119" s="2" t="s">
        <v>454</v>
      </c>
      <c r="C119" s="3" t="s">
        <v>476</v>
      </c>
      <c r="D119" s="15">
        <f>IFERROR(SUMIFS(ENTRADASOF[CANTIDAD],ENTRADASOF[DESCRIPCIÓN],INVENTARIOOFICINA[[#This Row],[DESCRIPCIÓN ]],ENTRADASOF[LOTE],INVENTARIOOFICINA[[#This Row],[LOTE]]),"-")</f>
        <v>3</v>
      </c>
      <c r="E119" s="15">
        <f>IFERROR(SUMIFS(SALIDASOF[CANTIDAD],SALIDASOF[DESCRIPCIÓN],INVENTARIOOFICINA[[#This Row],[DESCRIPCIÓN ]],SALIDASOF[LOTE],INVENTARIOOFICINA[[#This Row],[LOTE]]),"-")</f>
        <v>0</v>
      </c>
      <c r="F119" s="20">
        <f>INVENTARIOOFICINA[[#This Row],[ENTRADAS]]-INVENTARIOOFICINA[[#This Row],[SALIDAS]]</f>
        <v>3</v>
      </c>
      <c r="H119" s="14">
        <f>INVENTARIOOFICINA[[#This Row],[PRECIO UNITARIO ]]*INVENTARIOOFICINA[[#This Row],[STOCK ACTUAL ]]</f>
        <v>0</v>
      </c>
    </row>
    <row r="120" spans="1:8" ht="16" x14ac:dyDescent="0.2">
      <c r="A120" s="2" t="s">
        <v>745</v>
      </c>
      <c r="B120" s="2" t="s">
        <v>451</v>
      </c>
      <c r="C120" s="3" t="s">
        <v>476</v>
      </c>
      <c r="D120" s="15">
        <f>IFERROR(SUMIFS(ENTRADASOF[CANTIDAD],ENTRADASOF[DESCRIPCIÓN],INVENTARIOOFICINA[[#This Row],[DESCRIPCIÓN ]],ENTRADASOF[LOTE],INVENTARIOOFICINA[[#This Row],[LOTE]]),"-")</f>
        <v>1</v>
      </c>
      <c r="E120" s="15">
        <f>IFERROR(SUMIFS(SALIDASOF[CANTIDAD],SALIDASOF[DESCRIPCIÓN],INVENTARIOOFICINA[[#This Row],[DESCRIPCIÓN ]],SALIDASOF[LOTE],INVENTARIOOFICINA[[#This Row],[LOTE]]),"-")</f>
        <v>0</v>
      </c>
      <c r="F120" s="20">
        <f>INVENTARIOOFICINA[[#This Row],[ENTRADAS]]-INVENTARIOOFICINA[[#This Row],[SALIDAS]]</f>
        <v>1</v>
      </c>
      <c r="H120" s="14">
        <f>INVENTARIOOFICINA[[#This Row],[PRECIO UNITARIO ]]*INVENTARIOOFICINA[[#This Row],[STOCK ACTUAL ]]</f>
        <v>0</v>
      </c>
    </row>
    <row r="121" spans="1:8" x14ac:dyDescent="0.2">
      <c r="A121" s="3" t="s">
        <v>746</v>
      </c>
      <c r="B121" s="12" t="s">
        <v>325</v>
      </c>
      <c r="C121" s="3" t="s">
        <v>13</v>
      </c>
      <c r="D121" s="7">
        <f>IFERROR(SUMIFS(ENTRADASOF[CANTIDAD],ENTRADASOF[DESCRIPCIÓN],INVENTARIOOFICINA[[#This Row],[DESCRIPCIÓN ]],ENTRADASOF[LOTE],INVENTARIOOFICINA[[#This Row],[LOTE]]),"-")</f>
        <v>41</v>
      </c>
      <c r="E121" s="7">
        <f>IFERROR(SUMIFS(SALIDASOF[CANTIDAD],SALIDASOF[DESCRIPCIÓN],INVENTARIOOFICINA[[#This Row],[DESCRIPCIÓN ]],SALIDASOF[LOTE],INVENTARIOOFICINA[[#This Row],[LOTE]]),"-")</f>
        <v>0</v>
      </c>
      <c r="F121" s="19">
        <f>INVENTARIOOFICINA[[#This Row],[ENTRADAS]]-INVENTARIOOFICINA[[#This Row],[SALIDAS]]</f>
        <v>41</v>
      </c>
      <c r="G121" s="3"/>
      <c r="H121" s="14">
        <f>INVENTARIOOFICINA[[#This Row],[PRECIO UNITARIO ]]*INVENTARIOOFICINA[[#This Row],[STOCK ACTUAL ]]</f>
        <v>0</v>
      </c>
    </row>
    <row r="122" spans="1:8" ht="16" x14ac:dyDescent="0.2">
      <c r="A122" s="2" t="s">
        <v>747</v>
      </c>
      <c r="B122" s="2" t="s">
        <v>425</v>
      </c>
      <c r="C122" s="3" t="s">
        <v>13</v>
      </c>
      <c r="D122" s="15">
        <f>IFERROR(SUMIFS(ENTRADASOF[CANTIDAD],ENTRADASOF[DESCRIPCIÓN],INVENTARIOOFICINA[[#This Row],[DESCRIPCIÓN ]],ENTRADASOF[LOTE],INVENTARIOOFICINA[[#This Row],[LOTE]]),"-")</f>
        <v>3</v>
      </c>
      <c r="E122" s="15">
        <f>IFERROR(SUMIFS(SALIDASOF[CANTIDAD],SALIDASOF[DESCRIPCIÓN],INVENTARIOOFICINA[[#This Row],[DESCRIPCIÓN ]],SALIDASOF[LOTE],INVENTARIOOFICINA[[#This Row],[LOTE]]),"-")</f>
        <v>0</v>
      </c>
      <c r="F122" s="20">
        <f>INVENTARIOOFICINA[[#This Row],[ENTRADAS]]-INVENTARIOOFICINA[[#This Row],[SALIDAS]]</f>
        <v>3</v>
      </c>
      <c r="H122" s="14">
        <f>INVENTARIOOFICINA[[#This Row],[PRECIO UNITARIO ]]*INVENTARIOOFICINA[[#This Row],[STOCK ACTUAL ]]</f>
        <v>0</v>
      </c>
    </row>
    <row r="123" spans="1:8" ht="16" x14ac:dyDescent="0.2">
      <c r="A123" s="2" t="s">
        <v>748</v>
      </c>
      <c r="B123" s="2" t="s">
        <v>402</v>
      </c>
      <c r="C123" s="3" t="s">
        <v>13</v>
      </c>
      <c r="D123" s="15">
        <f>IFERROR(SUMIFS(ENTRADASOF[CANTIDAD],ENTRADASOF[DESCRIPCIÓN],INVENTARIOOFICINA[[#This Row],[DESCRIPCIÓN ]],ENTRADASOF[LOTE],INVENTARIOOFICINA[[#This Row],[LOTE]]),"-")</f>
        <v>2</v>
      </c>
      <c r="E123" s="15">
        <f>IFERROR(SUMIFS(SALIDASOF[CANTIDAD],SALIDASOF[DESCRIPCIÓN],INVENTARIOOFICINA[[#This Row],[DESCRIPCIÓN ]],SALIDASOF[LOTE],INVENTARIOOFICINA[[#This Row],[LOTE]]),"-")</f>
        <v>0</v>
      </c>
      <c r="F123" s="20">
        <f>INVENTARIOOFICINA[[#This Row],[ENTRADAS]]-INVENTARIOOFICINA[[#This Row],[SALIDAS]]</f>
        <v>2</v>
      </c>
      <c r="H123" s="14">
        <f>INVENTARIOOFICINA[[#This Row],[PRECIO UNITARIO ]]*INVENTARIOOFICINA[[#This Row],[STOCK ACTUAL ]]</f>
        <v>0</v>
      </c>
    </row>
    <row r="124" spans="1:8" ht="16" x14ac:dyDescent="0.2">
      <c r="A124" s="2" t="s">
        <v>749</v>
      </c>
      <c r="B124" s="2" t="s">
        <v>404</v>
      </c>
      <c r="C124" s="3" t="s">
        <v>13</v>
      </c>
      <c r="D124" s="15">
        <f>IFERROR(SUMIFS(ENTRADASOF[CANTIDAD],ENTRADASOF[DESCRIPCIÓN],INVENTARIOOFICINA[[#This Row],[DESCRIPCIÓN ]],ENTRADASOF[LOTE],INVENTARIOOFICINA[[#This Row],[LOTE]]),"-")</f>
        <v>1</v>
      </c>
      <c r="E124" s="15">
        <f>IFERROR(SUMIFS(SALIDASOF[CANTIDAD],SALIDASOF[DESCRIPCIÓN],INVENTARIOOFICINA[[#This Row],[DESCRIPCIÓN ]],SALIDASOF[LOTE],INVENTARIOOFICINA[[#This Row],[LOTE]]),"-")</f>
        <v>0</v>
      </c>
      <c r="F124" s="20">
        <f>INVENTARIOOFICINA[[#This Row],[ENTRADAS]]-INVENTARIOOFICINA[[#This Row],[SALIDAS]]</f>
        <v>1</v>
      </c>
      <c r="H124" s="14">
        <f>INVENTARIOOFICINA[[#This Row],[PRECIO UNITARIO ]]*INVENTARIOOFICINA[[#This Row],[STOCK ACTUAL ]]</f>
        <v>0</v>
      </c>
    </row>
    <row r="125" spans="1:8" x14ac:dyDescent="0.2">
      <c r="A125" s="3" t="s">
        <v>750</v>
      </c>
      <c r="B125" s="12" t="s">
        <v>337</v>
      </c>
      <c r="C125" s="3" t="s">
        <v>13</v>
      </c>
      <c r="D125" s="7">
        <f>IFERROR(SUMIFS(ENTRADASOF[CANTIDAD],ENTRADASOF[DESCRIPCIÓN],INVENTARIOOFICINA[[#This Row],[DESCRIPCIÓN ]],ENTRADASOF[LOTE],INVENTARIOOFICINA[[#This Row],[LOTE]]),"-")</f>
        <v>2</v>
      </c>
      <c r="E125" s="7">
        <f>IFERROR(SUMIFS(SALIDASOF[CANTIDAD],SALIDASOF[DESCRIPCIÓN],INVENTARIOOFICINA[[#This Row],[DESCRIPCIÓN ]],SALIDASOF[LOTE],INVENTARIOOFICINA[[#This Row],[LOTE]]),"-")</f>
        <v>0</v>
      </c>
      <c r="F125" s="19">
        <f>INVENTARIOOFICINA[[#This Row],[ENTRADAS]]-INVENTARIOOFICINA[[#This Row],[SALIDAS]]</f>
        <v>2</v>
      </c>
      <c r="G125" s="3"/>
      <c r="H125" s="14">
        <f>INVENTARIOOFICINA[[#This Row],[PRECIO UNITARIO ]]*INVENTARIOOFICINA[[#This Row],[STOCK ACTUAL ]]</f>
        <v>0</v>
      </c>
    </row>
    <row r="126" spans="1:8" ht="16" x14ac:dyDescent="0.2">
      <c r="A126" s="2" t="s">
        <v>751</v>
      </c>
      <c r="B126" s="2" t="s">
        <v>449</v>
      </c>
      <c r="C126" s="3" t="s">
        <v>13</v>
      </c>
      <c r="D126" s="15">
        <f>IFERROR(SUMIFS(ENTRADASOF[CANTIDAD],ENTRADASOF[DESCRIPCIÓN],INVENTARIOOFICINA[[#This Row],[DESCRIPCIÓN ]],ENTRADASOF[LOTE],INVENTARIOOFICINA[[#This Row],[LOTE]]),"-")</f>
        <v>1</v>
      </c>
      <c r="E126" s="15">
        <f>IFERROR(SUMIFS(SALIDASOF[CANTIDAD],SALIDASOF[DESCRIPCIÓN],INVENTARIOOFICINA[[#This Row],[DESCRIPCIÓN ]],SALIDASOF[LOTE],INVENTARIOOFICINA[[#This Row],[LOTE]]),"-")</f>
        <v>0</v>
      </c>
      <c r="F126" s="20">
        <f>INVENTARIOOFICINA[[#This Row],[ENTRADAS]]-INVENTARIOOFICINA[[#This Row],[SALIDAS]]</f>
        <v>1</v>
      </c>
      <c r="H126" s="14">
        <f>INVENTARIOOFICINA[[#This Row],[PRECIO UNITARIO ]]*INVENTARIOOFICINA[[#This Row],[STOCK ACTUAL ]]</f>
        <v>0</v>
      </c>
    </row>
    <row r="127" spans="1:8" x14ac:dyDescent="0.2">
      <c r="A127" s="3" t="s">
        <v>752</v>
      </c>
      <c r="B127" s="12" t="s">
        <v>350</v>
      </c>
      <c r="C127" s="3" t="s">
        <v>13</v>
      </c>
      <c r="D127" s="7">
        <f>IFERROR(SUMIFS(ENTRADASOF[CANTIDAD],ENTRADASOF[DESCRIPCIÓN],INVENTARIOOFICINA[[#This Row],[DESCRIPCIÓN ]],ENTRADASOF[LOTE],INVENTARIOOFICINA[[#This Row],[LOTE]]),"-")</f>
        <v>1</v>
      </c>
      <c r="E127" s="7">
        <f>IFERROR(SUMIFS(SALIDASOF[CANTIDAD],SALIDASOF[DESCRIPCIÓN],INVENTARIOOFICINA[[#This Row],[DESCRIPCIÓN ]],SALIDASOF[LOTE],INVENTARIOOFICINA[[#This Row],[LOTE]]),"-")</f>
        <v>0</v>
      </c>
      <c r="F127" s="19">
        <f>INVENTARIOOFICINA[[#This Row],[ENTRADAS]]-INVENTARIOOFICINA[[#This Row],[SALIDAS]]</f>
        <v>1</v>
      </c>
      <c r="G127" s="3"/>
      <c r="H127" s="14">
        <f>INVENTARIOOFICINA[[#This Row],[PRECIO UNITARIO ]]*INVENTARIOOFICINA[[#This Row],[STOCK ACTUAL ]]</f>
        <v>0</v>
      </c>
    </row>
    <row r="128" spans="1:8" x14ac:dyDescent="0.2">
      <c r="A128" s="3" t="s">
        <v>753</v>
      </c>
      <c r="B128" s="12" t="s">
        <v>349</v>
      </c>
      <c r="C128" s="3" t="s">
        <v>13</v>
      </c>
      <c r="D128" s="7">
        <f>IFERROR(SUMIFS(ENTRADASOF[CANTIDAD],ENTRADASOF[DESCRIPCIÓN],INVENTARIOOFICINA[[#This Row],[DESCRIPCIÓN ]],ENTRADASOF[LOTE],INVENTARIOOFICINA[[#This Row],[LOTE]]),"-")</f>
        <v>1</v>
      </c>
      <c r="E128" s="7">
        <f>IFERROR(SUMIFS(SALIDASOF[CANTIDAD],SALIDASOF[DESCRIPCIÓN],INVENTARIOOFICINA[[#This Row],[DESCRIPCIÓN ]],SALIDASOF[LOTE],INVENTARIOOFICINA[[#This Row],[LOTE]]),"-")</f>
        <v>0</v>
      </c>
      <c r="F128" s="19">
        <f>INVENTARIOOFICINA[[#This Row],[ENTRADAS]]-INVENTARIOOFICINA[[#This Row],[SALIDAS]]</f>
        <v>1</v>
      </c>
      <c r="G128" s="3"/>
      <c r="H128" s="14">
        <f>INVENTARIOOFICINA[[#This Row],[PRECIO UNITARIO ]]*INVENTARIOOFICINA[[#This Row],[STOCK ACTUAL ]]</f>
        <v>0</v>
      </c>
    </row>
    <row r="129" spans="1:8" x14ac:dyDescent="0.2">
      <c r="A129" s="3" t="s">
        <v>754</v>
      </c>
      <c r="B129" s="12" t="s">
        <v>334</v>
      </c>
      <c r="C129" s="3" t="s">
        <v>13</v>
      </c>
      <c r="D129" s="7">
        <f>IFERROR(SUMIFS(ENTRADASOF[CANTIDAD],ENTRADASOF[DESCRIPCIÓN],INVENTARIOOFICINA[[#This Row],[DESCRIPCIÓN ]],ENTRADASOF[LOTE],INVENTARIOOFICINA[[#This Row],[LOTE]]),"-")</f>
        <v>1</v>
      </c>
      <c r="E129" s="7">
        <f>IFERROR(SUMIFS(SALIDASOF[CANTIDAD],SALIDASOF[DESCRIPCIÓN],INVENTARIOOFICINA[[#This Row],[DESCRIPCIÓN ]],SALIDASOF[LOTE],INVENTARIOOFICINA[[#This Row],[LOTE]]),"-")</f>
        <v>0</v>
      </c>
      <c r="F129" s="19">
        <f>INVENTARIOOFICINA[[#This Row],[ENTRADAS]]-INVENTARIOOFICINA[[#This Row],[SALIDAS]]</f>
        <v>1</v>
      </c>
      <c r="G129" s="3"/>
      <c r="H129" s="14">
        <f>INVENTARIOOFICINA[[#This Row],[PRECIO UNITARIO ]]*INVENTARIOOFICINA[[#This Row],[STOCK ACTUAL ]]</f>
        <v>0</v>
      </c>
    </row>
    <row r="130" spans="1:8" ht="16" x14ac:dyDescent="0.2">
      <c r="A130" s="2" t="s">
        <v>755</v>
      </c>
      <c r="B130" s="17" t="s">
        <v>403</v>
      </c>
      <c r="C130" s="3" t="s">
        <v>13</v>
      </c>
      <c r="D130" s="15">
        <f>IFERROR(SUMIFS(ENTRADASOF[CANTIDAD],ENTRADASOF[DESCRIPCIÓN],INVENTARIOOFICINA[[#This Row],[DESCRIPCIÓN ]],ENTRADASOF[LOTE],INVENTARIOOFICINA[[#This Row],[LOTE]]),"-")</f>
        <v>1</v>
      </c>
      <c r="E130" s="15">
        <f>IFERROR(SUMIFS(SALIDASOF[CANTIDAD],SALIDASOF[DESCRIPCIÓN],INVENTARIOOFICINA[[#This Row],[DESCRIPCIÓN ]],SALIDASOF[LOTE],INVENTARIOOFICINA[[#This Row],[LOTE]]),"-")</f>
        <v>0</v>
      </c>
      <c r="F130" s="20">
        <f>INVENTARIOOFICINA[[#This Row],[ENTRADAS]]-INVENTARIOOFICINA[[#This Row],[SALIDAS]]</f>
        <v>1</v>
      </c>
      <c r="H130" s="14">
        <f>INVENTARIOOFICINA[[#This Row],[PRECIO UNITARIO ]]*INVENTARIOOFICINA[[#This Row],[STOCK ACTUAL ]]</f>
        <v>0</v>
      </c>
    </row>
    <row r="131" spans="1:8" x14ac:dyDescent="0.2">
      <c r="A131" s="3" t="s">
        <v>756</v>
      </c>
      <c r="B131" s="12" t="s">
        <v>351</v>
      </c>
      <c r="C131" s="3" t="s">
        <v>13</v>
      </c>
      <c r="D131" s="7">
        <f>IFERROR(SUMIFS(ENTRADASOF[CANTIDAD],ENTRADASOF[DESCRIPCIÓN],INVENTARIOOFICINA[[#This Row],[DESCRIPCIÓN ]],ENTRADASOF[LOTE],INVENTARIOOFICINA[[#This Row],[LOTE]]),"-")</f>
        <v>5</v>
      </c>
      <c r="E131" s="7">
        <f>IFERROR(SUMIFS(SALIDASOF[CANTIDAD],SALIDASOF[DESCRIPCIÓN],INVENTARIOOFICINA[[#This Row],[DESCRIPCIÓN ]],SALIDASOF[LOTE],INVENTARIOOFICINA[[#This Row],[LOTE]]),"-")</f>
        <v>0</v>
      </c>
      <c r="F131" s="19">
        <f>INVENTARIOOFICINA[[#This Row],[ENTRADAS]]-INVENTARIOOFICINA[[#This Row],[SALIDAS]]</f>
        <v>5</v>
      </c>
      <c r="G131" s="3"/>
      <c r="H131" s="14">
        <f>INVENTARIOOFICINA[[#This Row],[PRECIO UNITARIO ]]*INVENTARIOOFICINA[[#This Row],[STOCK ACTUAL ]]</f>
        <v>0</v>
      </c>
    </row>
    <row r="132" spans="1:8" ht="16" x14ac:dyDescent="0.2">
      <c r="A132" s="2" t="s">
        <v>757</v>
      </c>
      <c r="B132" s="2" t="s">
        <v>415</v>
      </c>
      <c r="C132" s="3" t="s">
        <v>13</v>
      </c>
      <c r="D132" s="15">
        <f>IFERROR(SUMIFS(ENTRADASOF[CANTIDAD],ENTRADASOF[DESCRIPCIÓN],INVENTARIOOFICINA[[#This Row],[DESCRIPCIÓN ]],ENTRADASOF[LOTE],INVENTARIOOFICINA[[#This Row],[LOTE]]),"-")</f>
        <v>1</v>
      </c>
      <c r="E132" s="15">
        <f>IFERROR(SUMIFS(SALIDASOF[CANTIDAD],SALIDASOF[DESCRIPCIÓN],INVENTARIOOFICINA[[#This Row],[DESCRIPCIÓN ]],SALIDASOF[LOTE],INVENTARIOOFICINA[[#This Row],[LOTE]]),"-")</f>
        <v>0</v>
      </c>
      <c r="F132" s="20">
        <f>INVENTARIOOFICINA[[#This Row],[ENTRADAS]]-INVENTARIOOFICINA[[#This Row],[SALIDAS]]</f>
        <v>1</v>
      </c>
      <c r="H132" s="14">
        <f>INVENTARIOOFICINA[[#This Row],[PRECIO UNITARIO ]]*INVENTARIOOFICINA[[#This Row],[STOCK ACTUAL ]]</f>
        <v>0</v>
      </c>
    </row>
    <row r="133" spans="1:8" ht="16" x14ac:dyDescent="0.2">
      <c r="A133" s="2" t="s">
        <v>758</v>
      </c>
      <c r="B133" s="2" t="s">
        <v>405</v>
      </c>
      <c r="C133" s="3" t="s">
        <v>13</v>
      </c>
      <c r="D133" s="15">
        <f>IFERROR(SUMIFS(ENTRADASOF[CANTIDAD],ENTRADASOF[DESCRIPCIÓN],INVENTARIOOFICINA[[#This Row],[DESCRIPCIÓN ]],ENTRADASOF[LOTE],INVENTARIOOFICINA[[#This Row],[LOTE]]),"-")</f>
        <v>1</v>
      </c>
      <c r="E133" s="15">
        <f>IFERROR(SUMIFS(SALIDASOF[CANTIDAD],SALIDASOF[DESCRIPCIÓN],INVENTARIOOFICINA[[#This Row],[DESCRIPCIÓN ]],SALIDASOF[LOTE],INVENTARIOOFICINA[[#This Row],[LOTE]]),"-")</f>
        <v>0</v>
      </c>
      <c r="F133" s="20">
        <f>INVENTARIOOFICINA[[#This Row],[ENTRADAS]]-INVENTARIOOFICINA[[#This Row],[SALIDAS]]</f>
        <v>1</v>
      </c>
      <c r="H133" s="14">
        <f>INVENTARIOOFICINA[[#This Row],[PRECIO UNITARIO ]]*INVENTARIOOFICINA[[#This Row],[STOCK ACTUAL ]]</f>
        <v>0</v>
      </c>
    </row>
    <row r="134" spans="1:8" x14ac:dyDescent="0.2">
      <c r="A134" s="3" t="s">
        <v>759</v>
      </c>
      <c r="B134" s="12" t="s">
        <v>383</v>
      </c>
      <c r="C134" s="3" t="s">
        <v>13</v>
      </c>
      <c r="D134" s="7">
        <f>IFERROR(SUMIFS(ENTRADASOF[CANTIDAD],ENTRADASOF[DESCRIPCIÓN],INVENTARIOOFICINA[[#This Row],[DESCRIPCIÓN ]],ENTRADASOF[LOTE],INVENTARIOOFICINA[[#This Row],[LOTE]]),"-")</f>
        <v>10</v>
      </c>
      <c r="E134" s="7">
        <f>IFERROR(SUMIFS(SALIDASOF[CANTIDAD],SALIDASOF[DESCRIPCIÓN],INVENTARIOOFICINA[[#This Row],[DESCRIPCIÓN ]],SALIDASOF[LOTE],INVENTARIOOFICINA[[#This Row],[LOTE]]),"-")</f>
        <v>0</v>
      </c>
      <c r="F134" s="19">
        <f>INVENTARIOOFICINA[[#This Row],[ENTRADAS]]-INVENTARIOOFICINA[[#This Row],[SALIDAS]]</f>
        <v>10</v>
      </c>
      <c r="G134" s="3"/>
      <c r="H134" s="14">
        <f>INVENTARIOOFICINA[[#This Row],[PRECIO UNITARIO ]]*INVENTARIOOFICINA[[#This Row],[STOCK ACTUAL ]]</f>
        <v>0</v>
      </c>
    </row>
    <row r="135" spans="1:8" x14ac:dyDescent="0.2">
      <c r="A135" s="3" t="s">
        <v>760</v>
      </c>
      <c r="B135" s="12" t="s">
        <v>320</v>
      </c>
      <c r="C135" s="3" t="s">
        <v>13</v>
      </c>
      <c r="D135" s="7">
        <f>IFERROR(SUMIFS(ENTRADASOF[CANTIDAD],ENTRADASOF[DESCRIPCIÓN],INVENTARIOOFICINA[[#This Row],[DESCRIPCIÓN ]],ENTRADASOF[LOTE],INVENTARIOOFICINA[[#This Row],[LOTE]]),"-")</f>
        <v>3</v>
      </c>
      <c r="E135" s="7">
        <f>IFERROR(SUMIFS(SALIDASOF[CANTIDAD],SALIDASOF[DESCRIPCIÓN],INVENTARIOOFICINA[[#This Row],[DESCRIPCIÓN ]],SALIDASOF[LOTE],INVENTARIOOFICINA[[#This Row],[LOTE]]),"-")</f>
        <v>0</v>
      </c>
      <c r="F135" s="19">
        <f>INVENTARIOOFICINA[[#This Row],[ENTRADAS]]-INVENTARIOOFICINA[[#This Row],[SALIDAS]]</f>
        <v>3</v>
      </c>
      <c r="G135" s="3"/>
      <c r="H135" s="14">
        <f>INVENTARIOOFICINA[[#This Row],[PRECIO UNITARIO ]]*INVENTARIOOFICINA[[#This Row],[STOCK ACTUAL ]]</f>
        <v>0</v>
      </c>
    </row>
    <row r="136" spans="1:8" x14ac:dyDescent="0.2">
      <c r="A136" s="3" t="s">
        <v>761</v>
      </c>
      <c r="B136" s="12" t="s">
        <v>309</v>
      </c>
      <c r="C136" s="3" t="s">
        <v>13</v>
      </c>
      <c r="D136" s="7">
        <f>IFERROR(SUMIFS(ENTRADASOF[CANTIDAD],ENTRADASOF[DESCRIPCIÓN],INVENTARIOOFICINA[[#This Row],[DESCRIPCIÓN ]],ENTRADASOF[LOTE],INVENTARIOOFICINA[[#This Row],[LOTE]]),"-")</f>
        <v>3</v>
      </c>
      <c r="E136" s="7">
        <f>IFERROR(SUMIFS(SALIDASOF[CANTIDAD],SALIDASOF[DESCRIPCIÓN],INVENTARIOOFICINA[[#This Row],[DESCRIPCIÓN ]],SALIDASOF[LOTE],INVENTARIOOFICINA[[#This Row],[LOTE]]),"-")</f>
        <v>0</v>
      </c>
      <c r="F136" s="19">
        <f>INVENTARIOOFICINA[[#This Row],[ENTRADAS]]-INVENTARIOOFICINA[[#This Row],[SALIDAS]]</f>
        <v>3</v>
      </c>
      <c r="G136" s="3"/>
      <c r="H136" s="14">
        <f>INVENTARIOOFICINA[[#This Row],[PRECIO UNITARIO ]]*INVENTARIOOFICINA[[#This Row],[STOCK ACTUAL ]]</f>
        <v>0</v>
      </c>
    </row>
    <row r="137" spans="1:8" x14ac:dyDescent="0.2">
      <c r="A137" s="3" t="s">
        <v>762</v>
      </c>
      <c r="B137" s="12" t="s">
        <v>311</v>
      </c>
      <c r="C137" s="3" t="s">
        <v>13</v>
      </c>
      <c r="D137" s="7">
        <f>IFERROR(SUMIFS(ENTRADASOF[CANTIDAD],ENTRADASOF[DESCRIPCIÓN],INVENTARIOOFICINA[[#This Row],[DESCRIPCIÓN ]],ENTRADASOF[LOTE],INVENTARIOOFICINA[[#This Row],[LOTE]]),"-")</f>
        <v>31</v>
      </c>
      <c r="E137" s="7">
        <f>IFERROR(SUMIFS(SALIDASOF[CANTIDAD],SALIDASOF[DESCRIPCIÓN],INVENTARIOOFICINA[[#This Row],[DESCRIPCIÓN ]],SALIDASOF[LOTE],INVENTARIOOFICINA[[#This Row],[LOTE]]),"-")</f>
        <v>4</v>
      </c>
      <c r="F137" s="19">
        <f>INVENTARIOOFICINA[[#This Row],[ENTRADAS]]-INVENTARIOOFICINA[[#This Row],[SALIDAS]]</f>
        <v>27</v>
      </c>
      <c r="G137" s="3"/>
      <c r="H137" s="14">
        <f>INVENTARIOOFICINA[[#This Row],[PRECIO UNITARIO ]]*INVENTARIOOFICINA[[#This Row],[STOCK ACTUAL ]]</f>
        <v>0</v>
      </c>
    </row>
    <row r="138" spans="1:8" x14ac:dyDescent="0.2">
      <c r="A138" s="3" t="s">
        <v>763</v>
      </c>
      <c r="B138" s="12" t="s">
        <v>382</v>
      </c>
      <c r="C138" s="3" t="s">
        <v>13</v>
      </c>
      <c r="D138" s="7">
        <f>IFERROR(SUMIFS(ENTRADASOF[CANTIDAD],ENTRADASOF[DESCRIPCIÓN],INVENTARIOOFICINA[[#This Row],[DESCRIPCIÓN ]],ENTRADASOF[LOTE],INVENTARIOOFICINA[[#This Row],[LOTE]]),"-")</f>
        <v>1</v>
      </c>
      <c r="E138" s="7">
        <f>IFERROR(SUMIFS(SALIDASOF[CANTIDAD],SALIDASOF[DESCRIPCIÓN],INVENTARIOOFICINA[[#This Row],[DESCRIPCIÓN ]],SALIDASOF[LOTE],INVENTARIOOFICINA[[#This Row],[LOTE]]),"-")</f>
        <v>0</v>
      </c>
      <c r="F138" s="19">
        <f>INVENTARIOOFICINA[[#This Row],[ENTRADAS]]-INVENTARIOOFICINA[[#This Row],[SALIDAS]]</f>
        <v>1</v>
      </c>
      <c r="G138" s="3"/>
      <c r="H138" s="14">
        <f>INVENTARIOOFICINA[[#This Row],[PRECIO UNITARIO ]]*INVENTARIOOFICINA[[#This Row],[STOCK ACTUAL ]]</f>
        <v>0</v>
      </c>
    </row>
    <row r="139" spans="1:8" x14ac:dyDescent="0.2">
      <c r="A139" s="3" t="s">
        <v>764</v>
      </c>
      <c r="B139" s="12" t="s">
        <v>381</v>
      </c>
      <c r="C139" s="3" t="s">
        <v>13</v>
      </c>
      <c r="D139" s="7">
        <f>IFERROR(SUMIFS(ENTRADASOF[CANTIDAD],ENTRADASOF[DESCRIPCIÓN],INVENTARIOOFICINA[[#This Row],[DESCRIPCIÓN ]],ENTRADASOF[LOTE],INVENTARIOOFICINA[[#This Row],[LOTE]]),"-")</f>
        <v>1</v>
      </c>
      <c r="E139" s="7">
        <f>IFERROR(SUMIFS(SALIDASOF[CANTIDAD],SALIDASOF[DESCRIPCIÓN],INVENTARIOOFICINA[[#This Row],[DESCRIPCIÓN ]],SALIDASOF[LOTE],INVENTARIOOFICINA[[#This Row],[LOTE]]),"-")</f>
        <v>0</v>
      </c>
      <c r="F139" s="19">
        <f>INVENTARIOOFICINA[[#This Row],[ENTRADAS]]-INVENTARIOOFICINA[[#This Row],[SALIDAS]]</f>
        <v>1</v>
      </c>
      <c r="G139" s="3"/>
      <c r="H139" s="14">
        <f>INVENTARIOOFICINA[[#This Row],[PRECIO UNITARIO ]]*INVENTARIOOFICINA[[#This Row],[STOCK ACTUAL ]]</f>
        <v>0</v>
      </c>
    </row>
    <row r="140" spans="1:8" x14ac:dyDescent="0.2">
      <c r="A140" s="3" t="s">
        <v>765</v>
      </c>
      <c r="B140" s="12" t="s">
        <v>380</v>
      </c>
      <c r="C140" s="3" t="s">
        <v>13</v>
      </c>
      <c r="D140" s="7">
        <f>IFERROR(SUMIFS(ENTRADASOF[CANTIDAD],ENTRADASOF[DESCRIPCIÓN],INVENTARIOOFICINA[[#This Row],[DESCRIPCIÓN ]],ENTRADASOF[LOTE],INVENTARIOOFICINA[[#This Row],[LOTE]]),"-")</f>
        <v>1</v>
      </c>
      <c r="E140" s="7">
        <f>IFERROR(SUMIFS(SALIDASOF[CANTIDAD],SALIDASOF[DESCRIPCIÓN],INVENTARIOOFICINA[[#This Row],[DESCRIPCIÓN ]],SALIDASOF[LOTE],INVENTARIOOFICINA[[#This Row],[LOTE]]),"-")</f>
        <v>0</v>
      </c>
      <c r="F140" s="19">
        <f>INVENTARIOOFICINA[[#This Row],[ENTRADAS]]-INVENTARIOOFICINA[[#This Row],[SALIDAS]]</f>
        <v>1</v>
      </c>
      <c r="G140" s="3"/>
      <c r="H140" s="14">
        <f>INVENTARIOOFICINA[[#This Row],[PRECIO UNITARIO ]]*INVENTARIOOFICINA[[#This Row],[STOCK ACTUAL ]]</f>
        <v>0</v>
      </c>
    </row>
    <row r="141" spans="1:8" ht="16" x14ac:dyDescent="0.2">
      <c r="A141" s="2" t="s">
        <v>766</v>
      </c>
      <c r="B141" s="2" t="s">
        <v>436</v>
      </c>
      <c r="C141" s="3" t="s">
        <v>13</v>
      </c>
      <c r="D141" s="15">
        <f>IFERROR(SUMIFS(ENTRADASOF[CANTIDAD],ENTRADASOF[DESCRIPCIÓN],INVENTARIOOFICINA[[#This Row],[DESCRIPCIÓN ]],ENTRADASOF[LOTE],INVENTARIOOFICINA[[#This Row],[LOTE]]),"-")</f>
        <v>1</v>
      </c>
      <c r="E141" s="15">
        <f>IFERROR(SUMIFS(SALIDASOF[CANTIDAD],SALIDASOF[DESCRIPCIÓN],INVENTARIOOFICINA[[#This Row],[DESCRIPCIÓN ]],SALIDASOF[LOTE],INVENTARIOOFICINA[[#This Row],[LOTE]]),"-")</f>
        <v>0</v>
      </c>
      <c r="F141" s="20">
        <f>INVENTARIOOFICINA[[#This Row],[ENTRADAS]]-INVENTARIOOFICINA[[#This Row],[SALIDAS]]</f>
        <v>1</v>
      </c>
      <c r="H141" s="14">
        <f>INVENTARIOOFICINA[[#This Row],[PRECIO UNITARIO ]]*INVENTARIOOFICINA[[#This Row],[STOCK ACTUAL ]]</f>
        <v>0</v>
      </c>
    </row>
    <row r="142" spans="1:8" ht="16" x14ac:dyDescent="0.2">
      <c r="A142" s="2" t="s">
        <v>767</v>
      </c>
      <c r="B142" s="2" t="s">
        <v>434</v>
      </c>
      <c r="C142" s="3" t="s">
        <v>13</v>
      </c>
      <c r="D142" s="15">
        <f>IFERROR(SUMIFS(ENTRADASOF[CANTIDAD],ENTRADASOF[DESCRIPCIÓN],INVENTARIOOFICINA[[#This Row],[DESCRIPCIÓN ]],ENTRADASOF[LOTE],INVENTARIOOFICINA[[#This Row],[LOTE]]),"-")</f>
        <v>1</v>
      </c>
      <c r="E142" s="15">
        <f>IFERROR(SUMIFS(SALIDASOF[CANTIDAD],SALIDASOF[DESCRIPCIÓN],INVENTARIOOFICINA[[#This Row],[DESCRIPCIÓN ]],SALIDASOF[LOTE],INVENTARIOOFICINA[[#This Row],[LOTE]]),"-")</f>
        <v>0</v>
      </c>
      <c r="F142" s="20">
        <f>INVENTARIOOFICINA[[#This Row],[ENTRADAS]]-INVENTARIOOFICINA[[#This Row],[SALIDAS]]</f>
        <v>1</v>
      </c>
      <c r="H142" s="14">
        <f>INVENTARIOOFICINA[[#This Row],[PRECIO UNITARIO ]]*INVENTARIOOFICINA[[#This Row],[STOCK ACTUAL ]]</f>
        <v>0</v>
      </c>
    </row>
    <row r="143" spans="1:8" ht="16" x14ac:dyDescent="0.2">
      <c r="A143" s="2" t="s">
        <v>768</v>
      </c>
      <c r="B143" s="2" t="s">
        <v>427</v>
      </c>
      <c r="C143" s="3" t="s">
        <v>13</v>
      </c>
      <c r="D143" s="15">
        <f>IFERROR(SUMIFS(ENTRADASOF[CANTIDAD],ENTRADASOF[DESCRIPCIÓN],INVENTARIOOFICINA[[#This Row],[DESCRIPCIÓN ]],ENTRADASOF[LOTE],INVENTARIOOFICINA[[#This Row],[LOTE]]),"-")</f>
        <v>1</v>
      </c>
      <c r="E143" s="15">
        <f>IFERROR(SUMIFS(SALIDASOF[CANTIDAD],SALIDASOF[DESCRIPCIÓN],INVENTARIOOFICINA[[#This Row],[DESCRIPCIÓN ]],SALIDASOF[LOTE],INVENTARIOOFICINA[[#This Row],[LOTE]]),"-")</f>
        <v>0</v>
      </c>
      <c r="F143" s="20">
        <f>INVENTARIOOFICINA[[#This Row],[ENTRADAS]]-INVENTARIOOFICINA[[#This Row],[SALIDAS]]</f>
        <v>1</v>
      </c>
      <c r="H143" s="14">
        <f>INVENTARIOOFICINA[[#This Row],[PRECIO UNITARIO ]]*INVENTARIOOFICINA[[#This Row],[STOCK ACTUAL ]]</f>
        <v>0</v>
      </c>
    </row>
    <row r="144" spans="1:8" x14ac:dyDescent="0.2">
      <c r="A144" s="3" t="s">
        <v>769</v>
      </c>
      <c r="B144" s="12" t="s">
        <v>341</v>
      </c>
      <c r="C144" s="3" t="s">
        <v>13</v>
      </c>
      <c r="D144" s="7">
        <f>IFERROR(SUMIFS(ENTRADASOF[CANTIDAD],ENTRADASOF[DESCRIPCIÓN],INVENTARIOOFICINA[[#This Row],[DESCRIPCIÓN ]],ENTRADASOF[LOTE],INVENTARIOOFICINA[[#This Row],[LOTE]]),"-")</f>
        <v>12</v>
      </c>
      <c r="E144" s="7">
        <f>IFERROR(SUMIFS(SALIDASOF[CANTIDAD],SALIDASOF[DESCRIPCIÓN],INVENTARIOOFICINA[[#This Row],[DESCRIPCIÓN ]],SALIDASOF[LOTE],INVENTARIOOFICINA[[#This Row],[LOTE]]),"-")</f>
        <v>0</v>
      </c>
      <c r="F144" s="19">
        <f>INVENTARIOOFICINA[[#This Row],[ENTRADAS]]-INVENTARIOOFICINA[[#This Row],[SALIDAS]]</f>
        <v>12</v>
      </c>
      <c r="G144" s="3"/>
      <c r="H144" s="14">
        <f>INVENTARIOOFICINA[[#This Row],[PRECIO UNITARIO ]]*INVENTARIOOFICINA[[#This Row],[STOCK ACTUAL ]]</f>
        <v>0</v>
      </c>
    </row>
    <row r="145" spans="1:8" x14ac:dyDescent="0.2">
      <c r="A145" s="3" t="s">
        <v>770</v>
      </c>
      <c r="B145" s="12" t="s">
        <v>342</v>
      </c>
      <c r="C145" s="3" t="s">
        <v>13</v>
      </c>
      <c r="D145" s="7">
        <f>IFERROR(SUMIFS(ENTRADASOF[CANTIDAD],ENTRADASOF[DESCRIPCIÓN],INVENTARIOOFICINA[[#This Row],[DESCRIPCIÓN ]],ENTRADASOF[LOTE],INVENTARIOOFICINA[[#This Row],[LOTE]]),"-")</f>
        <v>4</v>
      </c>
      <c r="E145" s="7">
        <f>IFERROR(SUMIFS(SALIDASOF[CANTIDAD],SALIDASOF[DESCRIPCIÓN],INVENTARIOOFICINA[[#This Row],[DESCRIPCIÓN ]],SALIDASOF[LOTE],INVENTARIOOFICINA[[#This Row],[LOTE]]),"-")</f>
        <v>4</v>
      </c>
      <c r="F145" s="19">
        <f>INVENTARIOOFICINA[[#This Row],[ENTRADAS]]-INVENTARIOOFICINA[[#This Row],[SALIDAS]]</f>
        <v>0</v>
      </c>
      <c r="G145" s="3"/>
      <c r="H145" s="14">
        <f>INVENTARIOOFICINA[[#This Row],[PRECIO UNITARIO ]]*INVENTARIOOFICINA[[#This Row],[STOCK ACTUAL ]]</f>
        <v>0</v>
      </c>
    </row>
    <row r="146" spans="1:8" ht="16" x14ac:dyDescent="0.2">
      <c r="A146" s="2" t="s">
        <v>771</v>
      </c>
      <c r="B146" s="2" t="s">
        <v>426</v>
      </c>
      <c r="C146" s="3" t="s">
        <v>13</v>
      </c>
      <c r="D146" s="15">
        <f>IFERROR(SUMIFS(ENTRADASOF[CANTIDAD],ENTRADASOF[DESCRIPCIÓN],INVENTARIOOFICINA[[#This Row],[DESCRIPCIÓN ]],ENTRADASOF[LOTE],INVENTARIOOFICINA[[#This Row],[LOTE]]),"-")</f>
        <v>1</v>
      </c>
      <c r="E146" s="15">
        <f>IFERROR(SUMIFS(SALIDASOF[CANTIDAD],SALIDASOF[DESCRIPCIÓN],INVENTARIOOFICINA[[#This Row],[DESCRIPCIÓN ]],SALIDASOF[LOTE],INVENTARIOOFICINA[[#This Row],[LOTE]]),"-")</f>
        <v>0</v>
      </c>
      <c r="F146" s="20">
        <f>INVENTARIOOFICINA[[#This Row],[ENTRADAS]]-INVENTARIOOFICINA[[#This Row],[SALIDAS]]</f>
        <v>1</v>
      </c>
      <c r="H146" s="14">
        <f>INVENTARIOOFICINA[[#This Row],[PRECIO UNITARIO ]]*INVENTARIOOFICINA[[#This Row],[STOCK ACTUAL ]]</f>
        <v>0</v>
      </c>
    </row>
    <row r="147" spans="1:8" x14ac:dyDescent="0.2">
      <c r="A147" s="3" t="s">
        <v>772</v>
      </c>
      <c r="B147" s="12" t="s">
        <v>310</v>
      </c>
      <c r="C147" s="3" t="s">
        <v>13</v>
      </c>
      <c r="D147" s="7">
        <f>IFERROR(SUMIFS(ENTRADASOF[CANTIDAD],ENTRADASOF[DESCRIPCIÓN],INVENTARIOOFICINA[[#This Row],[DESCRIPCIÓN ]],ENTRADASOF[LOTE],INVENTARIOOFICINA[[#This Row],[LOTE]]),"-")</f>
        <v>24</v>
      </c>
      <c r="E147" s="7">
        <f>IFERROR(SUMIFS(SALIDASOF[CANTIDAD],SALIDASOF[DESCRIPCIÓN],INVENTARIOOFICINA[[#This Row],[DESCRIPCIÓN ]],SALIDASOF[LOTE],INVENTARIOOFICINA[[#This Row],[LOTE]]),"-")</f>
        <v>0</v>
      </c>
      <c r="F147" s="19">
        <f>INVENTARIOOFICINA[[#This Row],[ENTRADAS]]-INVENTARIOOFICINA[[#This Row],[SALIDAS]]</f>
        <v>24</v>
      </c>
      <c r="G147" s="3"/>
      <c r="H147" s="14">
        <f>INVENTARIOOFICINA[[#This Row],[PRECIO UNITARIO ]]*INVENTARIOOFICINA[[#This Row],[STOCK ACTUAL ]]</f>
        <v>0</v>
      </c>
    </row>
    <row r="148" spans="1:8" ht="16" x14ac:dyDescent="0.2">
      <c r="A148" s="2" t="s">
        <v>773</v>
      </c>
      <c r="B148" s="2" t="s">
        <v>417</v>
      </c>
      <c r="C148" s="3" t="s">
        <v>13</v>
      </c>
      <c r="D148" s="15">
        <f>IFERROR(SUMIFS(ENTRADASOF[CANTIDAD],ENTRADASOF[DESCRIPCIÓN],INVENTARIOOFICINA[[#This Row],[DESCRIPCIÓN ]],ENTRADASOF[LOTE],INVENTARIOOFICINA[[#This Row],[LOTE]]),"-")</f>
        <v>1</v>
      </c>
      <c r="E148" s="15">
        <f>IFERROR(SUMIFS(SALIDASOF[CANTIDAD],SALIDASOF[DESCRIPCIÓN],INVENTARIOOFICINA[[#This Row],[DESCRIPCIÓN ]],SALIDASOF[LOTE],INVENTARIOOFICINA[[#This Row],[LOTE]]),"-")</f>
        <v>0</v>
      </c>
      <c r="F148" s="20">
        <f>INVENTARIOOFICINA[[#This Row],[ENTRADAS]]-INVENTARIOOFICINA[[#This Row],[SALIDAS]]</f>
        <v>1</v>
      </c>
      <c r="H148" s="14">
        <f>INVENTARIOOFICINA[[#This Row],[PRECIO UNITARIO ]]*INVENTARIOOFICINA[[#This Row],[STOCK ACTUAL ]]</f>
        <v>0</v>
      </c>
    </row>
    <row r="149" spans="1:8" x14ac:dyDescent="0.2">
      <c r="A149" s="3" t="s">
        <v>774</v>
      </c>
      <c r="B149" s="12" t="s">
        <v>348</v>
      </c>
      <c r="C149" s="3" t="s">
        <v>13</v>
      </c>
      <c r="D149" s="7">
        <f>IFERROR(SUMIFS(ENTRADASOF[CANTIDAD],ENTRADASOF[DESCRIPCIÓN],INVENTARIOOFICINA[[#This Row],[DESCRIPCIÓN ]],ENTRADASOF[LOTE],INVENTARIOOFICINA[[#This Row],[LOTE]]),"-")</f>
        <v>4</v>
      </c>
      <c r="E149" s="7">
        <f>IFERROR(SUMIFS(SALIDASOF[CANTIDAD],SALIDASOF[DESCRIPCIÓN],INVENTARIOOFICINA[[#This Row],[DESCRIPCIÓN ]],SALIDASOF[LOTE],INVENTARIOOFICINA[[#This Row],[LOTE]]),"-")</f>
        <v>0</v>
      </c>
      <c r="F149" s="19">
        <f>INVENTARIOOFICINA[[#This Row],[ENTRADAS]]-INVENTARIOOFICINA[[#This Row],[SALIDAS]]</f>
        <v>4</v>
      </c>
      <c r="G149" s="3"/>
      <c r="H149" s="14">
        <f>INVENTARIOOFICINA[[#This Row],[PRECIO UNITARIO ]]*INVENTARIOOFICINA[[#This Row],[STOCK ACTUAL ]]</f>
        <v>0</v>
      </c>
    </row>
    <row r="150" spans="1:8" x14ac:dyDescent="0.2">
      <c r="A150" s="3" t="s">
        <v>775</v>
      </c>
      <c r="B150" s="12" t="s">
        <v>343</v>
      </c>
      <c r="C150" s="3" t="s">
        <v>13</v>
      </c>
      <c r="D150" s="7">
        <f>IFERROR(SUMIFS(ENTRADASOF[CANTIDAD],ENTRADASOF[DESCRIPCIÓN],INVENTARIOOFICINA[[#This Row],[DESCRIPCIÓN ]],ENTRADASOF[LOTE],INVENTARIOOFICINA[[#This Row],[LOTE]]),"-")</f>
        <v>3</v>
      </c>
      <c r="E150" s="7">
        <f>IFERROR(SUMIFS(SALIDASOF[CANTIDAD],SALIDASOF[DESCRIPCIÓN],INVENTARIOOFICINA[[#This Row],[DESCRIPCIÓN ]],SALIDASOF[LOTE],INVENTARIOOFICINA[[#This Row],[LOTE]]),"-")</f>
        <v>0</v>
      </c>
      <c r="F150" s="19">
        <f>INVENTARIOOFICINA[[#This Row],[ENTRADAS]]-INVENTARIOOFICINA[[#This Row],[SALIDAS]]</f>
        <v>3</v>
      </c>
      <c r="G150" s="3"/>
      <c r="H150" s="14">
        <f>INVENTARIOOFICINA[[#This Row],[PRECIO UNITARIO ]]*INVENTARIOOFICINA[[#This Row],[STOCK ACTUAL ]]</f>
        <v>0</v>
      </c>
    </row>
    <row r="151" spans="1:8" ht="15" customHeight="1" x14ac:dyDescent="0.2">
      <c r="A151" s="2" t="s">
        <v>776</v>
      </c>
      <c r="B151" s="2" t="s">
        <v>460</v>
      </c>
      <c r="C151" s="3" t="s">
        <v>13</v>
      </c>
      <c r="D151" s="15">
        <f>IFERROR(SUMIFS(ENTRADASOF[CANTIDAD],ENTRADASOF[DESCRIPCIÓN],INVENTARIOOFICINA[[#This Row],[DESCRIPCIÓN ]],ENTRADASOF[LOTE],INVENTARIOOFICINA[[#This Row],[LOTE]]),"-")</f>
        <v>2</v>
      </c>
      <c r="E151" s="15">
        <f>IFERROR(SUMIFS(SALIDASOF[CANTIDAD],SALIDASOF[DESCRIPCIÓN],INVENTARIOOFICINA[[#This Row],[DESCRIPCIÓN ]],SALIDASOF[LOTE],INVENTARIOOFICINA[[#This Row],[LOTE]]),"-")</f>
        <v>0</v>
      </c>
      <c r="F151" s="20">
        <f>INVENTARIOOFICINA[[#This Row],[ENTRADAS]]-INVENTARIOOFICINA[[#This Row],[SALIDAS]]</f>
        <v>2</v>
      </c>
      <c r="H151" s="14">
        <f>INVENTARIOOFICINA[[#This Row],[PRECIO UNITARIO ]]*INVENTARIOOFICINA[[#This Row],[STOCK ACTUAL ]]</f>
        <v>0</v>
      </c>
    </row>
    <row r="152" spans="1:8" ht="16" x14ac:dyDescent="0.2">
      <c r="A152" s="2" t="s">
        <v>777</v>
      </c>
      <c r="B152" s="2" t="s">
        <v>456</v>
      </c>
      <c r="C152" s="3" t="s">
        <v>13</v>
      </c>
      <c r="D152" s="15">
        <f>IFERROR(SUMIFS(ENTRADASOF[CANTIDAD],ENTRADASOF[DESCRIPCIÓN],INVENTARIOOFICINA[[#This Row],[DESCRIPCIÓN ]],ENTRADASOF[LOTE],INVENTARIOOFICINA[[#This Row],[LOTE]]),"-")</f>
        <v>2</v>
      </c>
      <c r="E152" s="15">
        <f>IFERROR(SUMIFS(SALIDASOF[CANTIDAD],SALIDASOF[DESCRIPCIÓN],INVENTARIOOFICINA[[#This Row],[DESCRIPCIÓN ]],SALIDASOF[LOTE],INVENTARIOOFICINA[[#This Row],[LOTE]]),"-")</f>
        <v>0</v>
      </c>
      <c r="F152" s="20">
        <f>INVENTARIOOFICINA[[#This Row],[ENTRADAS]]-INVENTARIOOFICINA[[#This Row],[SALIDAS]]</f>
        <v>2</v>
      </c>
      <c r="H152" s="14">
        <f>INVENTARIOOFICINA[[#This Row],[PRECIO UNITARIO ]]*INVENTARIOOFICINA[[#This Row],[STOCK ACTUAL ]]</f>
        <v>0</v>
      </c>
    </row>
    <row r="153" spans="1:8" x14ac:dyDescent="0.2">
      <c r="A153" s="3" t="s">
        <v>778</v>
      </c>
      <c r="B153" s="12" t="s">
        <v>340</v>
      </c>
      <c r="C153" s="3" t="s">
        <v>13</v>
      </c>
      <c r="D153" s="7">
        <f>IFERROR(SUMIFS(ENTRADASOF[CANTIDAD],ENTRADASOF[DESCRIPCIÓN],INVENTARIOOFICINA[[#This Row],[DESCRIPCIÓN ]],ENTRADASOF[LOTE],INVENTARIOOFICINA[[#This Row],[LOTE]]),"-")</f>
        <v>8</v>
      </c>
      <c r="E153" s="7">
        <f>IFERROR(SUMIFS(SALIDASOF[CANTIDAD],SALIDASOF[DESCRIPCIÓN],INVENTARIOOFICINA[[#This Row],[DESCRIPCIÓN ]],SALIDASOF[LOTE],INVENTARIOOFICINA[[#This Row],[LOTE]]),"-")</f>
        <v>0</v>
      </c>
      <c r="F153" s="19">
        <f>INVENTARIOOFICINA[[#This Row],[ENTRADAS]]-INVENTARIOOFICINA[[#This Row],[SALIDAS]]</f>
        <v>8</v>
      </c>
      <c r="G153" s="3"/>
      <c r="H153" s="14">
        <f>INVENTARIOOFICINA[[#This Row],[PRECIO UNITARIO ]]*INVENTARIOOFICINA[[#This Row],[STOCK ACTUAL ]]</f>
        <v>0</v>
      </c>
    </row>
    <row r="154" spans="1:8" ht="16" x14ac:dyDescent="0.2">
      <c r="A154" s="2" t="s">
        <v>779</v>
      </c>
      <c r="B154" s="2" t="s">
        <v>457</v>
      </c>
      <c r="C154" s="3" t="s">
        <v>13</v>
      </c>
      <c r="D154" s="15">
        <f>IFERROR(SUMIFS(ENTRADASOF[CANTIDAD],ENTRADASOF[DESCRIPCIÓN],INVENTARIOOFICINA[[#This Row],[DESCRIPCIÓN ]],ENTRADASOF[LOTE],INVENTARIOOFICINA[[#This Row],[LOTE]]),"-")</f>
        <v>4</v>
      </c>
      <c r="E154" s="15">
        <f>IFERROR(SUMIFS(SALIDASOF[CANTIDAD],SALIDASOF[DESCRIPCIÓN],INVENTARIOOFICINA[[#This Row],[DESCRIPCIÓN ]],SALIDASOF[LOTE],INVENTARIOOFICINA[[#This Row],[LOTE]]),"-")</f>
        <v>0</v>
      </c>
      <c r="F154" s="20">
        <f>INVENTARIOOFICINA[[#This Row],[ENTRADAS]]-INVENTARIOOFICINA[[#This Row],[SALIDAS]]</f>
        <v>4</v>
      </c>
      <c r="H154" s="14">
        <f>INVENTARIOOFICINA[[#This Row],[PRECIO UNITARIO ]]*INVENTARIOOFICINA[[#This Row],[STOCK ACTUAL ]]</f>
        <v>0</v>
      </c>
    </row>
    <row r="155" spans="1:8" x14ac:dyDescent="0.2">
      <c r="A155" s="3" t="s">
        <v>780</v>
      </c>
      <c r="B155" s="12" t="s">
        <v>324</v>
      </c>
      <c r="C155" s="3" t="s">
        <v>13</v>
      </c>
      <c r="D155" s="7">
        <f>IFERROR(SUMIFS(ENTRADASOF[CANTIDAD],ENTRADASOF[DESCRIPCIÓN],INVENTARIOOFICINA[[#This Row],[DESCRIPCIÓN ]],ENTRADASOF[LOTE],INVENTARIOOFICINA[[#This Row],[LOTE]]),"-")</f>
        <v>4</v>
      </c>
      <c r="E155" s="7">
        <f>IFERROR(SUMIFS(SALIDASOF[CANTIDAD],SALIDASOF[DESCRIPCIÓN],INVENTARIOOFICINA[[#This Row],[DESCRIPCIÓN ]],SALIDASOF[LOTE],INVENTARIOOFICINA[[#This Row],[LOTE]]),"-")</f>
        <v>0</v>
      </c>
      <c r="F155" s="19">
        <f>INVENTARIOOFICINA[[#This Row],[ENTRADAS]]-INVENTARIOOFICINA[[#This Row],[SALIDAS]]</f>
        <v>4</v>
      </c>
      <c r="G155" s="3"/>
      <c r="H155" s="14">
        <f>INVENTARIOOFICINA[[#This Row],[PRECIO UNITARIO ]]*INVENTARIOOFICINA[[#This Row],[STOCK ACTUAL ]]</f>
        <v>0</v>
      </c>
    </row>
    <row r="156" spans="1:8" x14ac:dyDescent="0.2">
      <c r="A156" s="3" t="s">
        <v>781</v>
      </c>
      <c r="B156" s="12" t="s">
        <v>316</v>
      </c>
      <c r="C156" s="3" t="s">
        <v>81</v>
      </c>
      <c r="D156" s="7">
        <f>IFERROR(SUMIFS(ENTRADASOF[CANTIDAD],ENTRADASOF[DESCRIPCIÓN],INVENTARIOOFICINA[[#This Row],[DESCRIPCIÓN ]],ENTRADASOF[LOTE],INVENTARIOOFICINA[[#This Row],[LOTE]]),"-")</f>
        <v>2</v>
      </c>
      <c r="E156" s="7">
        <f>IFERROR(SUMIFS(SALIDASOF[CANTIDAD],SALIDASOF[DESCRIPCIÓN],INVENTARIOOFICINA[[#This Row],[DESCRIPCIÓN ]],SALIDASOF[LOTE],INVENTARIOOFICINA[[#This Row],[LOTE]]),"-")</f>
        <v>0</v>
      </c>
      <c r="F156" s="19">
        <f>INVENTARIOOFICINA[[#This Row],[ENTRADAS]]-INVENTARIOOFICINA[[#This Row],[SALIDAS]]</f>
        <v>2</v>
      </c>
      <c r="G156" s="3"/>
      <c r="H156" s="14">
        <f>INVENTARIOOFICINA[[#This Row],[PRECIO UNITARIO ]]*INVENTARIOOFICINA[[#This Row],[STOCK ACTUAL ]]</f>
        <v>0</v>
      </c>
    </row>
    <row r="157" spans="1:8" x14ac:dyDescent="0.2">
      <c r="A157" s="3" t="s">
        <v>782</v>
      </c>
      <c r="B157" s="12" t="s">
        <v>317</v>
      </c>
      <c r="C157" s="3" t="s">
        <v>81</v>
      </c>
      <c r="D157" s="7">
        <f>IFERROR(SUMIFS(ENTRADASOF[CANTIDAD],ENTRADASOF[DESCRIPCIÓN],INVENTARIOOFICINA[[#This Row],[DESCRIPCIÓN ]],ENTRADASOF[LOTE],INVENTARIOOFICINA[[#This Row],[LOTE]]),"-")</f>
        <v>1</v>
      </c>
      <c r="E157" s="7">
        <f>IFERROR(SUMIFS(SALIDASOF[CANTIDAD],SALIDASOF[DESCRIPCIÓN],INVENTARIOOFICINA[[#This Row],[DESCRIPCIÓN ]],SALIDASOF[LOTE],INVENTARIOOFICINA[[#This Row],[LOTE]]),"-")</f>
        <v>0</v>
      </c>
      <c r="F157" s="19">
        <f>INVENTARIOOFICINA[[#This Row],[ENTRADAS]]-INVENTARIOOFICINA[[#This Row],[SALIDAS]]</f>
        <v>1</v>
      </c>
      <c r="G157" s="3"/>
      <c r="H157" s="14">
        <f>INVENTARIOOFICINA[[#This Row],[PRECIO UNITARIO ]]*INVENTARIOOFICINA[[#This Row],[STOCK ACTUAL ]]</f>
        <v>0</v>
      </c>
    </row>
    <row r="158" spans="1:8" x14ac:dyDescent="0.2">
      <c r="A158" s="3" t="s">
        <v>783</v>
      </c>
      <c r="B158" s="12" t="s">
        <v>361</v>
      </c>
      <c r="C158" s="3" t="s">
        <v>147</v>
      </c>
      <c r="D158" s="7">
        <f>IFERROR(SUMIFS(ENTRADASOF[CANTIDAD],ENTRADASOF[DESCRIPCIÓN],INVENTARIOOFICINA[[#This Row],[DESCRIPCIÓN ]],ENTRADASOF[LOTE],INVENTARIOOFICINA[[#This Row],[LOTE]]),"-")</f>
        <v>2</v>
      </c>
      <c r="E158" s="7">
        <f>IFERROR(SUMIFS(SALIDASOF[CANTIDAD],SALIDASOF[DESCRIPCIÓN],INVENTARIOOFICINA[[#This Row],[DESCRIPCIÓN ]],SALIDASOF[LOTE],INVENTARIOOFICINA[[#This Row],[LOTE]]),"-")</f>
        <v>0</v>
      </c>
      <c r="F158" s="19">
        <f>INVENTARIOOFICINA[[#This Row],[ENTRADAS]]-INVENTARIOOFICINA[[#This Row],[SALIDAS]]</f>
        <v>2</v>
      </c>
      <c r="G158" s="3"/>
      <c r="H158" s="14">
        <f>INVENTARIOOFICINA[[#This Row],[PRECIO UNITARIO ]]*INVENTARIOOFICINA[[#This Row],[STOCK ACTUAL ]]</f>
        <v>0</v>
      </c>
    </row>
    <row r="159" spans="1:8" x14ac:dyDescent="0.2">
      <c r="A159" s="3" t="s">
        <v>612</v>
      </c>
      <c r="B159" s="12" t="s">
        <v>591</v>
      </c>
      <c r="C159" s="3" t="s">
        <v>608</v>
      </c>
      <c r="D159" s="7">
        <f>IFERROR(SUMIFS(ENTRADASOF[CANTIDAD],ENTRADASOF[DESCRIPCIÓN],INVENTARIOOFICINA[[#This Row],[DESCRIPCIÓN ]],ENTRADASOF[LOTE],INVENTARIOOFICINA[[#This Row],[LOTE]]),"-")</f>
        <v>2</v>
      </c>
      <c r="E159" s="7">
        <f>IFERROR(SUMIFS(SALIDASOF[CANTIDAD],SALIDASOF[DESCRIPCIÓN],INVENTARIOOFICINA[[#This Row],[DESCRIPCIÓN ]],SALIDASOF[LOTE],INVENTARIOOFICINA[[#This Row],[LOTE]]),"-")</f>
        <v>0</v>
      </c>
      <c r="F159" s="20">
        <f>INVENTARIOOFICINA[[#This Row],[ENTRADAS]]-INVENTARIOOFICINA[[#This Row],[SALIDAS]]</f>
        <v>2</v>
      </c>
      <c r="H159">
        <f>INVENTARIOOFICINA[[#This Row],[PRECIO UNITARIO ]]*INVENTARIOOFICINA[[#This Row],[STOCK ACTUAL ]]</f>
        <v>0</v>
      </c>
    </row>
    <row r="160" spans="1:8" x14ac:dyDescent="0.2">
      <c r="A160" s="3" t="s">
        <v>613</v>
      </c>
      <c r="B160" s="3" t="s">
        <v>592</v>
      </c>
      <c r="C160" s="3" t="s">
        <v>609</v>
      </c>
      <c r="D160" s="7">
        <f>IFERROR(SUMIFS(ENTRADASOF[CANTIDAD],ENTRADASOF[DESCRIPCIÓN],INVENTARIOOFICINA[[#This Row],[DESCRIPCIÓN ]],ENTRADASOF[LOTE],INVENTARIOOFICINA[[#This Row],[LOTE]]),"-")</f>
        <v>2</v>
      </c>
      <c r="E160" s="7">
        <f>IFERROR(SUMIFS(SALIDASOF[CANTIDAD],SALIDASOF[DESCRIPCIÓN],INVENTARIOOFICINA[[#This Row],[DESCRIPCIÓN ]],SALIDASOF[LOTE],INVENTARIOOFICINA[[#This Row],[LOTE]]),"-")</f>
        <v>0</v>
      </c>
      <c r="F160" s="20">
        <f>INVENTARIOOFICINA[[#This Row],[ENTRADAS]]-INVENTARIOOFICINA[[#This Row],[SALIDAS]]</f>
        <v>2</v>
      </c>
      <c r="H160">
        <f>INVENTARIOOFICINA[[#This Row],[PRECIO UNITARIO ]]*INVENTARIOOFICINA[[#This Row],[STOCK ACTUAL ]]</f>
        <v>0</v>
      </c>
    </row>
    <row r="161" spans="1:8" x14ac:dyDescent="0.2">
      <c r="A161" s="3" t="s">
        <v>614</v>
      </c>
      <c r="B161" s="3" t="s">
        <v>593</v>
      </c>
      <c r="C161" s="3" t="s">
        <v>609</v>
      </c>
      <c r="D161" s="7">
        <f>IFERROR(SUMIFS(ENTRADASOF[CANTIDAD],ENTRADASOF[DESCRIPCIÓN],INVENTARIOOFICINA[[#This Row],[DESCRIPCIÓN ]],ENTRADASOF[LOTE],INVENTARIOOFICINA[[#This Row],[LOTE]]),"-")</f>
        <v>1</v>
      </c>
      <c r="E161" s="7">
        <f>IFERROR(SUMIFS(SALIDASOF[CANTIDAD],SALIDASOF[DESCRIPCIÓN],INVENTARIOOFICINA[[#This Row],[DESCRIPCIÓN ]],SALIDASOF[LOTE],INVENTARIOOFICINA[[#This Row],[LOTE]]),"-")</f>
        <v>0</v>
      </c>
      <c r="F161" s="20">
        <f>INVENTARIOOFICINA[[#This Row],[ENTRADAS]]-INVENTARIOOFICINA[[#This Row],[SALIDAS]]</f>
        <v>1</v>
      </c>
      <c r="H161">
        <f>INVENTARIOOFICINA[[#This Row],[PRECIO UNITARIO ]]*INVENTARIOOFICINA[[#This Row],[STOCK ACTUAL ]]</f>
        <v>0</v>
      </c>
    </row>
    <row r="162" spans="1:8" x14ac:dyDescent="0.2">
      <c r="A162" s="3" t="s">
        <v>615</v>
      </c>
      <c r="B162" s="3" t="s">
        <v>594</v>
      </c>
      <c r="C162" s="3" t="s">
        <v>610</v>
      </c>
      <c r="D162" s="7">
        <f>IFERROR(SUMIFS(ENTRADASOF[CANTIDAD],ENTRADASOF[DESCRIPCIÓN],INVENTARIOOFICINA[[#This Row],[DESCRIPCIÓN ]],ENTRADASOF[LOTE],INVENTARIOOFICINA[[#This Row],[LOTE]]),"-")</f>
        <v>1</v>
      </c>
      <c r="E162" s="7">
        <f>IFERROR(SUMIFS(SALIDASOF[CANTIDAD],SALIDASOF[DESCRIPCIÓN],INVENTARIOOFICINA[[#This Row],[DESCRIPCIÓN ]],SALIDASOF[LOTE],INVENTARIOOFICINA[[#This Row],[LOTE]]),"-")</f>
        <v>0</v>
      </c>
      <c r="F162" s="20">
        <f>INVENTARIOOFICINA[[#This Row],[ENTRADAS]]-INVENTARIOOFICINA[[#This Row],[SALIDAS]]</f>
        <v>1</v>
      </c>
      <c r="H162">
        <f>INVENTARIOOFICINA[[#This Row],[PRECIO UNITARIO ]]*INVENTARIOOFICINA[[#This Row],[STOCK ACTUAL ]]</f>
        <v>0</v>
      </c>
    </row>
    <row r="163" spans="1:8" x14ac:dyDescent="0.2">
      <c r="A163" s="3" t="s">
        <v>616</v>
      </c>
      <c r="B163" s="3" t="s">
        <v>595</v>
      </c>
      <c r="C163" s="3" t="s">
        <v>609</v>
      </c>
      <c r="D163" s="7">
        <f>IFERROR(SUMIFS(ENTRADASOF[CANTIDAD],ENTRADASOF[DESCRIPCIÓN],INVENTARIOOFICINA[[#This Row],[DESCRIPCIÓN ]],ENTRADASOF[LOTE],INVENTARIOOFICINA[[#This Row],[LOTE]]),"-")</f>
        <v>6</v>
      </c>
      <c r="E163" s="7">
        <f>IFERROR(SUMIFS(SALIDASOF[CANTIDAD],SALIDASOF[DESCRIPCIÓN],INVENTARIOOFICINA[[#This Row],[DESCRIPCIÓN ]],SALIDASOF[LOTE],INVENTARIOOFICINA[[#This Row],[LOTE]]),"-")</f>
        <v>0</v>
      </c>
      <c r="F163" s="20">
        <f>INVENTARIOOFICINA[[#This Row],[ENTRADAS]]-INVENTARIOOFICINA[[#This Row],[SALIDAS]]</f>
        <v>6</v>
      </c>
      <c r="H163">
        <f>INVENTARIOOFICINA[[#This Row],[PRECIO UNITARIO ]]*INVENTARIOOFICINA[[#This Row],[STOCK ACTUAL ]]</f>
        <v>0</v>
      </c>
    </row>
    <row r="164" spans="1:8" x14ac:dyDescent="0.2">
      <c r="A164" s="3" t="s">
        <v>617</v>
      </c>
      <c r="B164" s="3" t="s">
        <v>599</v>
      </c>
      <c r="C164" s="3" t="s">
        <v>609</v>
      </c>
      <c r="D164" s="7">
        <f>IFERROR(SUMIFS(ENTRADASOF[CANTIDAD],ENTRADASOF[DESCRIPCIÓN],INVENTARIOOFICINA[[#This Row],[DESCRIPCIÓN ]],ENTRADASOF[LOTE],INVENTARIOOFICINA[[#This Row],[LOTE]]),"-")</f>
        <v>1</v>
      </c>
      <c r="E164" s="7">
        <f>IFERROR(SUMIFS(SALIDASOF[CANTIDAD],SALIDASOF[DESCRIPCIÓN],INVENTARIOOFICINA[[#This Row],[DESCRIPCIÓN ]],SALIDASOF[LOTE],INVENTARIOOFICINA[[#This Row],[LOTE]]),"-")</f>
        <v>0</v>
      </c>
      <c r="F164" s="20">
        <f>INVENTARIOOFICINA[[#This Row],[ENTRADAS]]-INVENTARIOOFICINA[[#This Row],[SALIDAS]]</f>
        <v>1</v>
      </c>
      <c r="H164">
        <f>INVENTARIOOFICINA[[#This Row],[PRECIO UNITARIO ]]*INVENTARIOOFICINA[[#This Row],[STOCK ACTUAL ]]</f>
        <v>0</v>
      </c>
    </row>
    <row r="165" spans="1:8" x14ac:dyDescent="0.2">
      <c r="A165" s="3" t="s">
        <v>618</v>
      </c>
      <c r="B165" s="3" t="s">
        <v>600</v>
      </c>
      <c r="C165" s="3" t="s">
        <v>609</v>
      </c>
      <c r="D165" s="7">
        <f>IFERROR(SUMIFS(ENTRADASOF[CANTIDAD],ENTRADASOF[DESCRIPCIÓN],INVENTARIOOFICINA[[#This Row],[DESCRIPCIÓN ]],ENTRADASOF[LOTE],INVENTARIOOFICINA[[#This Row],[LOTE]]),"-")</f>
        <v>1</v>
      </c>
      <c r="E165" s="7">
        <f>IFERROR(SUMIFS(SALIDASOF[CANTIDAD],SALIDASOF[DESCRIPCIÓN],INVENTARIOOFICINA[[#This Row],[DESCRIPCIÓN ]],SALIDASOF[LOTE],INVENTARIOOFICINA[[#This Row],[LOTE]]),"-")</f>
        <v>0</v>
      </c>
      <c r="F165" s="20">
        <f>INVENTARIOOFICINA[[#This Row],[ENTRADAS]]-INVENTARIOOFICINA[[#This Row],[SALIDAS]]</f>
        <v>1</v>
      </c>
      <c r="H165">
        <f>INVENTARIOOFICINA[[#This Row],[PRECIO UNITARIO ]]*INVENTARIOOFICINA[[#This Row],[STOCK ACTUAL ]]</f>
        <v>0</v>
      </c>
    </row>
    <row r="166" spans="1:8" x14ac:dyDescent="0.2">
      <c r="A166" s="3" t="s">
        <v>619</v>
      </c>
      <c r="B166" s="3" t="s">
        <v>601</v>
      </c>
      <c r="C166" s="3" t="s">
        <v>609</v>
      </c>
      <c r="D166" s="7">
        <f>IFERROR(SUMIFS(ENTRADASOF[CANTIDAD],ENTRADASOF[DESCRIPCIÓN],INVENTARIOOFICINA[[#This Row],[DESCRIPCIÓN ]],ENTRADASOF[LOTE],INVENTARIOOFICINA[[#This Row],[LOTE]]),"-")</f>
        <v>1</v>
      </c>
      <c r="E166" s="7">
        <f>IFERROR(SUMIFS(SALIDASOF[CANTIDAD],SALIDASOF[DESCRIPCIÓN],INVENTARIOOFICINA[[#This Row],[DESCRIPCIÓN ]],SALIDASOF[LOTE],INVENTARIOOFICINA[[#This Row],[LOTE]]),"-")</f>
        <v>0</v>
      </c>
      <c r="F166" s="20">
        <f>INVENTARIOOFICINA[[#This Row],[ENTRADAS]]-INVENTARIOOFICINA[[#This Row],[SALIDAS]]</f>
        <v>1</v>
      </c>
      <c r="H166">
        <f>INVENTARIOOFICINA[[#This Row],[PRECIO UNITARIO ]]*INVENTARIOOFICINA[[#This Row],[STOCK ACTUAL ]]</f>
        <v>0</v>
      </c>
    </row>
    <row r="167" spans="1:8" x14ac:dyDescent="0.2">
      <c r="A167" s="3" t="s">
        <v>620</v>
      </c>
      <c r="B167" s="3" t="s">
        <v>602</v>
      </c>
      <c r="C167" s="3" t="s">
        <v>609</v>
      </c>
      <c r="D167" s="7">
        <f>IFERROR(SUMIFS(ENTRADASOF[CANTIDAD],ENTRADASOF[DESCRIPCIÓN],INVENTARIOOFICINA[[#This Row],[DESCRIPCIÓN ]],ENTRADASOF[LOTE],INVENTARIOOFICINA[[#This Row],[LOTE]]),"-")</f>
        <v>4</v>
      </c>
      <c r="E167" s="7">
        <f>IFERROR(SUMIFS(SALIDASOF[CANTIDAD],SALIDASOF[DESCRIPCIÓN],INVENTARIOOFICINA[[#This Row],[DESCRIPCIÓN ]],SALIDASOF[LOTE],INVENTARIOOFICINA[[#This Row],[LOTE]]),"-")</f>
        <v>0</v>
      </c>
      <c r="F167" s="20">
        <f>INVENTARIOOFICINA[[#This Row],[ENTRADAS]]-INVENTARIOOFICINA[[#This Row],[SALIDAS]]</f>
        <v>4</v>
      </c>
      <c r="H167">
        <f>INVENTARIOOFICINA[[#This Row],[PRECIO UNITARIO ]]*INVENTARIOOFICINA[[#This Row],[STOCK ACTUAL ]]</f>
        <v>0</v>
      </c>
    </row>
    <row r="168" spans="1:8" x14ac:dyDescent="0.2">
      <c r="A168" s="3" t="s">
        <v>621</v>
      </c>
      <c r="B168" s="3" t="s">
        <v>603</v>
      </c>
      <c r="C168" s="3" t="s">
        <v>609</v>
      </c>
      <c r="D168" s="7">
        <f>IFERROR(SUMIFS(ENTRADASOF[CANTIDAD],ENTRADASOF[DESCRIPCIÓN],INVENTARIOOFICINA[[#This Row],[DESCRIPCIÓN ]],ENTRADASOF[LOTE],INVENTARIOOFICINA[[#This Row],[LOTE]]),"-")</f>
        <v>1</v>
      </c>
      <c r="E168" s="7">
        <f>IFERROR(SUMIFS(SALIDASOF[CANTIDAD],SALIDASOF[DESCRIPCIÓN],INVENTARIOOFICINA[[#This Row],[DESCRIPCIÓN ]],SALIDASOF[LOTE],INVENTARIOOFICINA[[#This Row],[LOTE]]),"-")</f>
        <v>0</v>
      </c>
      <c r="F168" s="20">
        <f>INVENTARIOOFICINA[[#This Row],[ENTRADAS]]-INVENTARIOOFICINA[[#This Row],[SALIDAS]]</f>
        <v>1</v>
      </c>
      <c r="H168">
        <f>INVENTARIOOFICINA[[#This Row],[PRECIO UNITARIO ]]*INVENTARIOOFICINA[[#This Row],[STOCK ACTUAL ]]</f>
        <v>0</v>
      </c>
    </row>
    <row r="169" spans="1:8" x14ac:dyDescent="0.2">
      <c r="A169" s="3" t="s">
        <v>622</v>
      </c>
      <c r="B169" s="3" t="s">
        <v>607</v>
      </c>
      <c r="C169" s="3" t="s">
        <v>609</v>
      </c>
      <c r="D169" s="7">
        <f>IFERROR(SUMIFS(ENTRADASOF[CANTIDAD],ENTRADASOF[DESCRIPCIÓN],INVENTARIOOFICINA[[#This Row],[DESCRIPCIÓN ]],ENTRADASOF[LOTE],INVENTARIOOFICINA[[#This Row],[LOTE]]),"-")</f>
        <v>5</v>
      </c>
      <c r="E169" s="7">
        <f>IFERROR(SUMIFS(SALIDASOF[CANTIDAD],SALIDASOF[DESCRIPCIÓN],INVENTARIOOFICINA[[#This Row],[DESCRIPCIÓN ]],SALIDASOF[LOTE],INVENTARIOOFICINA[[#This Row],[LOTE]]),"-")</f>
        <v>0</v>
      </c>
      <c r="F169" s="20">
        <f>INVENTARIOOFICINA[[#This Row],[ENTRADAS]]-INVENTARIOOFICINA[[#This Row],[SALIDAS]]</f>
        <v>5</v>
      </c>
      <c r="H169">
        <f>INVENTARIOOFICINA[[#This Row],[PRECIO UNITARIO ]]*INVENTARIOOFICINA[[#This Row],[STOCK ACTUAL ]]</f>
        <v>0</v>
      </c>
    </row>
    <row r="170" spans="1:8" x14ac:dyDescent="0.2">
      <c r="A170" s="3" t="s">
        <v>623</v>
      </c>
      <c r="B170" s="3" t="s">
        <v>604</v>
      </c>
      <c r="C170" s="3" t="s">
        <v>609</v>
      </c>
      <c r="D170" s="7">
        <f>IFERROR(SUMIFS(ENTRADASOF[CANTIDAD],ENTRADASOF[DESCRIPCIÓN],INVENTARIOOFICINA[[#This Row],[DESCRIPCIÓN ]],ENTRADASOF[LOTE],INVENTARIOOFICINA[[#This Row],[LOTE]]),"-")</f>
        <v>2</v>
      </c>
      <c r="E170" s="7">
        <f>IFERROR(SUMIFS(SALIDASOF[CANTIDAD],SALIDASOF[DESCRIPCIÓN],INVENTARIOOFICINA[[#This Row],[DESCRIPCIÓN ]],SALIDASOF[LOTE],INVENTARIOOFICINA[[#This Row],[LOTE]]),"-")</f>
        <v>0</v>
      </c>
      <c r="F170" s="20">
        <f>INVENTARIOOFICINA[[#This Row],[ENTRADAS]]-INVENTARIOOFICINA[[#This Row],[SALIDAS]]</f>
        <v>2</v>
      </c>
      <c r="H170">
        <f>INVENTARIOOFICINA[[#This Row],[PRECIO UNITARIO ]]*INVENTARIOOFICINA[[#This Row],[STOCK ACTUAL ]]</f>
        <v>0</v>
      </c>
    </row>
    <row r="171" spans="1:8" x14ac:dyDescent="0.2">
      <c r="A171" s="3" t="s">
        <v>624</v>
      </c>
      <c r="B171" s="3" t="s">
        <v>596</v>
      </c>
      <c r="C171" s="3" t="s">
        <v>610</v>
      </c>
      <c r="D171" s="7">
        <f>IFERROR(SUMIFS(ENTRADASOF[CANTIDAD],ENTRADASOF[DESCRIPCIÓN],INVENTARIOOFICINA[[#This Row],[DESCRIPCIÓN ]],ENTRADASOF[LOTE],INVENTARIOOFICINA[[#This Row],[LOTE]]),"-")</f>
        <v>1</v>
      </c>
      <c r="E171" s="7">
        <f>IFERROR(SUMIFS(SALIDASOF[CANTIDAD],SALIDASOF[DESCRIPCIÓN],INVENTARIOOFICINA[[#This Row],[DESCRIPCIÓN ]],SALIDASOF[LOTE],INVENTARIOOFICINA[[#This Row],[LOTE]]),"-")</f>
        <v>0</v>
      </c>
      <c r="F171" s="20">
        <f>INVENTARIOOFICINA[[#This Row],[ENTRADAS]]-INVENTARIOOFICINA[[#This Row],[SALIDAS]]</f>
        <v>1</v>
      </c>
      <c r="H171">
        <f>INVENTARIOOFICINA[[#This Row],[PRECIO UNITARIO ]]*INVENTARIOOFICINA[[#This Row],[STOCK ACTUAL ]]</f>
        <v>0</v>
      </c>
    </row>
    <row r="172" spans="1:8" x14ac:dyDescent="0.2">
      <c r="A172" s="3" t="s">
        <v>625</v>
      </c>
      <c r="B172" s="3" t="s">
        <v>605</v>
      </c>
      <c r="C172" s="3" t="s">
        <v>609</v>
      </c>
      <c r="D172" s="7">
        <f>IFERROR(SUMIFS(ENTRADASOF[CANTIDAD],ENTRADASOF[DESCRIPCIÓN],INVENTARIOOFICINA[[#This Row],[DESCRIPCIÓN ]],ENTRADASOF[LOTE],INVENTARIOOFICINA[[#This Row],[LOTE]]),"-")</f>
        <v>2</v>
      </c>
      <c r="E172" s="7">
        <f>IFERROR(SUMIFS(SALIDASOF[CANTIDAD],SALIDASOF[DESCRIPCIÓN],INVENTARIOOFICINA[[#This Row],[DESCRIPCIÓN ]],SALIDASOF[LOTE],INVENTARIOOFICINA[[#This Row],[LOTE]]),"-")</f>
        <v>0</v>
      </c>
      <c r="F172" s="20">
        <f>INVENTARIOOFICINA[[#This Row],[ENTRADAS]]-INVENTARIOOFICINA[[#This Row],[SALIDAS]]</f>
        <v>2</v>
      </c>
      <c r="H172">
        <f>INVENTARIOOFICINA[[#This Row],[PRECIO UNITARIO ]]*INVENTARIOOFICINA[[#This Row],[STOCK ACTUAL ]]</f>
        <v>0</v>
      </c>
    </row>
    <row r="173" spans="1:8" x14ac:dyDescent="0.2">
      <c r="A173" s="3" t="s">
        <v>626</v>
      </c>
      <c r="B173" s="3" t="s">
        <v>597</v>
      </c>
      <c r="C173" s="3" t="s">
        <v>610</v>
      </c>
      <c r="D173" s="7">
        <f>IFERROR(SUMIFS(ENTRADASOF[CANTIDAD],ENTRADASOF[DESCRIPCIÓN],INVENTARIOOFICINA[[#This Row],[DESCRIPCIÓN ]],ENTRADASOF[LOTE],INVENTARIOOFICINA[[#This Row],[LOTE]]),"-")</f>
        <v>1</v>
      </c>
      <c r="E173" s="7">
        <f>IFERROR(SUMIFS(SALIDASOF[CANTIDAD],SALIDASOF[DESCRIPCIÓN],INVENTARIOOFICINA[[#This Row],[DESCRIPCIÓN ]],SALIDASOF[LOTE],INVENTARIOOFICINA[[#This Row],[LOTE]]),"-")</f>
        <v>0</v>
      </c>
      <c r="F173" s="20">
        <f>INVENTARIOOFICINA[[#This Row],[ENTRADAS]]-INVENTARIOOFICINA[[#This Row],[SALIDAS]]</f>
        <v>1</v>
      </c>
      <c r="H173">
        <f>INVENTARIOOFICINA[[#This Row],[PRECIO UNITARIO ]]*INVENTARIOOFICINA[[#This Row],[STOCK ACTUAL ]]</f>
        <v>0</v>
      </c>
    </row>
    <row r="174" spans="1:8" x14ac:dyDescent="0.2">
      <c r="A174" s="3" t="s">
        <v>627</v>
      </c>
      <c r="B174" s="3" t="s">
        <v>598</v>
      </c>
      <c r="C174" s="3" t="s">
        <v>611</v>
      </c>
      <c r="D174" s="7">
        <f>IFERROR(SUMIFS(ENTRADASOF[CANTIDAD],ENTRADASOF[DESCRIPCIÓN],INVENTARIOOFICINA[[#This Row],[DESCRIPCIÓN ]],ENTRADASOF[LOTE],INVENTARIOOFICINA[[#This Row],[LOTE]]),"-")</f>
        <v>1</v>
      </c>
      <c r="E174" s="7">
        <f>IFERROR(SUMIFS(SALIDASOF[CANTIDAD],SALIDASOF[DESCRIPCIÓN],INVENTARIOOFICINA[[#This Row],[DESCRIPCIÓN ]],SALIDASOF[LOTE],INVENTARIOOFICINA[[#This Row],[LOTE]]),"-")</f>
        <v>0</v>
      </c>
      <c r="F174" s="20">
        <f>INVENTARIOOFICINA[[#This Row],[ENTRADAS]]-INVENTARIOOFICINA[[#This Row],[SALIDAS]]</f>
        <v>1</v>
      </c>
      <c r="H174">
        <f>INVENTARIOOFICINA[[#This Row],[PRECIO UNITARIO ]]*INVENTARIOOFICINA[[#This Row],[STOCK ACTUAL ]]</f>
        <v>0</v>
      </c>
    </row>
    <row r="175" spans="1:8" x14ac:dyDescent="0.2">
      <c r="A175" s="3" t="s">
        <v>628</v>
      </c>
      <c r="B175" s="3" t="s">
        <v>606</v>
      </c>
      <c r="C175" s="3" t="s">
        <v>609</v>
      </c>
      <c r="D175" s="7">
        <f>IFERROR(SUMIFS(ENTRADASOF[CANTIDAD],ENTRADASOF[DESCRIPCIÓN],INVENTARIOOFICINA[[#This Row],[DESCRIPCIÓN ]],ENTRADASOF[LOTE],INVENTARIOOFICINA[[#This Row],[LOTE]]),"-")</f>
        <v>2</v>
      </c>
      <c r="E175" s="7">
        <f>IFERROR(SUMIFS(SALIDASOF[CANTIDAD],SALIDASOF[DESCRIPCIÓN],INVENTARIOOFICINA[[#This Row],[DESCRIPCIÓN ]],SALIDASOF[LOTE],INVENTARIOOFICINA[[#This Row],[LOTE]]),"-")</f>
        <v>0</v>
      </c>
      <c r="F175" s="20">
        <f>INVENTARIOOFICINA[[#This Row],[ENTRADAS]]-INVENTARIOOFICINA[[#This Row],[SALIDAS]]</f>
        <v>2</v>
      </c>
      <c r="H175">
        <f>INVENTARIOOFICINA[[#This Row],[PRECIO UNITARIO ]]*INVENTARIOOFICINA[[#This Row],[STOCK ACTUAL ]]</f>
        <v>0</v>
      </c>
    </row>
    <row r="176" spans="1:8" x14ac:dyDescent="0.2">
      <c r="B176" s="3"/>
      <c r="D176">
        <f>IFERROR(SUMIFS(ENTRADASOF[CANTIDAD],ENTRADASOF[DESCRIPCIÓN],INVENTARIOOFICINA[[#This Row],[DESCRIPCIÓN ]],ENTRADASOF[LOTE],INVENTARIOOFICINA[[#This Row],[LOTE]]),"-")</f>
        <v>0</v>
      </c>
      <c r="E176">
        <f>IFERROR(SUMIFS(SALIDASOF[CANTIDAD],SALIDASOF[DESCRIPCIÓN],INVENTARIOOFICINA[[#This Row],[DESCRIPCIÓN ]],SALIDASOF[LOTE],INVENTARIOOFICINA[[#This Row],[LOTE]]),"-")</f>
        <v>0</v>
      </c>
      <c r="F176" s="20">
        <f>INVENTARIOOFICINA[[#This Row],[ENTRADAS]]-INVENTARIOOFICINA[[#This Row],[SALIDAS]]</f>
        <v>0</v>
      </c>
      <c r="H176">
        <f>INVENTARIOOFICINA[[#This Row],[PRECIO UNITARIO ]]*INVENTARIOOFICINA[[#This Row],[STOCK ACTUAL ]]</f>
        <v>0</v>
      </c>
    </row>
    <row r="177" spans="2:8" x14ac:dyDescent="0.2">
      <c r="B177" s="3"/>
      <c r="D177">
        <f>IFERROR(SUMIFS(ENTRADASOF[CANTIDAD],ENTRADASOF[DESCRIPCIÓN],INVENTARIOOFICINA[[#This Row],[DESCRIPCIÓN ]],ENTRADASOF[LOTE],INVENTARIOOFICINA[[#This Row],[LOTE]]),"-")</f>
        <v>0</v>
      </c>
      <c r="E177">
        <f>IFERROR(SUMIFS(SALIDASOF[CANTIDAD],SALIDASOF[DESCRIPCIÓN],INVENTARIOOFICINA[[#This Row],[DESCRIPCIÓN ]],SALIDASOF[LOTE],INVENTARIOOFICINA[[#This Row],[LOTE]]),"-")</f>
        <v>0</v>
      </c>
      <c r="F177" s="20">
        <f>INVENTARIOOFICINA[[#This Row],[ENTRADAS]]-INVENTARIOOFICINA[[#This Row],[SALIDAS]]</f>
        <v>0</v>
      </c>
      <c r="H177">
        <f>INVENTARIOOFICINA[[#This Row],[PRECIO UNITARIO ]]*INVENTARIOOFICINA[[#This Row],[STOCK ACTUAL ]]</f>
        <v>0</v>
      </c>
    </row>
    <row r="178" spans="2:8" x14ac:dyDescent="0.2">
      <c r="B178" s="3"/>
      <c r="D178">
        <f>IFERROR(SUMIFS(ENTRADASOF[CANTIDAD],ENTRADASOF[DESCRIPCIÓN],INVENTARIOOFICINA[[#This Row],[DESCRIPCIÓN ]],ENTRADASOF[LOTE],INVENTARIOOFICINA[[#This Row],[LOTE]]),"-")</f>
        <v>0</v>
      </c>
      <c r="E178">
        <f>IFERROR(SUMIFS(SALIDASOF[CANTIDAD],SALIDASOF[DESCRIPCIÓN],INVENTARIOOFICINA[[#This Row],[DESCRIPCIÓN ]],SALIDASOF[LOTE],INVENTARIOOFICINA[[#This Row],[LOTE]]),"-")</f>
        <v>0</v>
      </c>
      <c r="F178" s="20">
        <f>INVENTARIOOFICINA[[#This Row],[ENTRADAS]]-INVENTARIOOFICINA[[#This Row],[SALIDAS]]</f>
        <v>0</v>
      </c>
      <c r="H178">
        <f>INVENTARIOOFICINA[[#This Row],[PRECIO UNITARIO ]]*INVENTARIOOFICINA[[#This Row],[STOCK ACTUAL ]]</f>
        <v>0</v>
      </c>
    </row>
    <row r="179" spans="2:8" x14ac:dyDescent="0.2">
      <c r="B179" s="3"/>
      <c r="D179">
        <f>IFERROR(SUMIFS(ENTRADASOF[CANTIDAD],ENTRADASOF[DESCRIPCIÓN],INVENTARIOOFICINA[[#This Row],[DESCRIPCIÓN ]],ENTRADASOF[LOTE],INVENTARIOOFICINA[[#This Row],[LOTE]]),"-")</f>
        <v>0</v>
      </c>
      <c r="E179">
        <f>IFERROR(SUMIFS(SALIDASOF[CANTIDAD],SALIDASOF[DESCRIPCIÓN],INVENTARIOOFICINA[[#This Row],[DESCRIPCIÓN ]],SALIDASOF[LOTE],INVENTARIOOFICINA[[#This Row],[LOTE]]),"-")</f>
        <v>0</v>
      </c>
      <c r="F179" s="20">
        <f>INVENTARIOOFICINA[[#This Row],[ENTRADAS]]-INVENTARIOOFICINA[[#This Row],[SALIDAS]]</f>
        <v>0</v>
      </c>
      <c r="H179">
        <f>INVENTARIOOFICINA[[#This Row],[PRECIO UNITARIO ]]*INVENTARIOOFICINA[[#This Row],[STOCK ACTUAL ]]</f>
        <v>0</v>
      </c>
    </row>
    <row r="180" spans="2:8" x14ac:dyDescent="0.2">
      <c r="B180" s="3"/>
      <c r="D180">
        <f>IFERROR(SUMIFS(ENTRADASOF[CANTIDAD],ENTRADASOF[DESCRIPCIÓN],INVENTARIOOFICINA[[#This Row],[DESCRIPCIÓN ]],ENTRADASOF[LOTE],INVENTARIOOFICINA[[#This Row],[LOTE]]),"-")</f>
        <v>0</v>
      </c>
      <c r="E180">
        <f>IFERROR(SUMIFS(SALIDASOF[CANTIDAD],SALIDASOF[DESCRIPCIÓN],INVENTARIOOFICINA[[#This Row],[DESCRIPCIÓN ]],SALIDASOF[LOTE],INVENTARIOOFICINA[[#This Row],[LOTE]]),"-")</f>
        <v>0</v>
      </c>
      <c r="F180" s="20">
        <f>INVENTARIOOFICINA[[#This Row],[ENTRADAS]]-INVENTARIOOFICINA[[#This Row],[SALIDAS]]</f>
        <v>0</v>
      </c>
      <c r="H180">
        <f>INVENTARIOOFICINA[[#This Row],[PRECIO UNITARIO ]]*INVENTARIOOFICINA[[#This Row],[STOCK ACTUAL ]]</f>
        <v>0</v>
      </c>
    </row>
    <row r="181" spans="2:8" x14ac:dyDescent="0.2">
      <c r="B181" s="3"/>
      <c r="D181">
        <f>IFERROR(SUMIFS(ENTRADASOF[CANTIDAD],ENTRADASOF[DESCRIPCIÓN],INVENTARIOOFICINA[[#This Row],[DESCRIPCIÓN ]],ENTRADASOF[LOTE],INVENTARIOOFICINA[[#This Row],[LOTE]]),"-")</f>
        <v>0</v>
      </c>
      <c r="E181">
        <f>IFERROR(SUMIFS(SALIDASOF[CANTIDAD],SALIDASOF[DESCRIPCIÓN],INVENTARIOOFICINA[[#This Row],[DESCRIPCIÓN ]],SALIDASOF[LOTE],INVENTARIOOFICINA[[#This Row],[LOTE]]),"-")</f>
        <v>0</v>
      </c>
      <c r="F181" s="20">
        <f>INVENTARIOOFICINA[[#This Row],[ENTRADAS]]-INVENTARIOOFICINA[[#This Row],[SALIDAS]]</f>
        <v>0</v>
      </c>
      <c r="H181">
        <f>INVENTARIOOFICINA[[#This Row],[PRECIO UNITARIO ]]*INVENTARIOOFICINA[[#This Row],[STOCK ACTUAL ]]</f>
        <v>0</v>
      </c>
    </row>
    <row r="182" spans="2:8" x14ac:dyDescent="0.2">
      <c r="B182" s="3"/>
      <c r="D182">
        <f>IFERROR(SUMIFS(ENTRADASOF[CANTIDAD],ENTRADASOF[DESCRIPCIÓN],INVENTARIOOFICINA[[#This Row],[DESCRIPCIÓN ]],ENTRADASOF[LOTE],INVENTARIOOFICINA[[#This Row],[LOTE]]),"-")</f>
        <v>0</v>
      </c>
      <c r="E182">
        <f>IFERROR(SUMIFS(SALIDASOF[CANTIDAD],SALIDASOF[DESCRIPCIÓN],INVENTARIOOFICINA[[#This Row],[DESCRIPCIÓN ]],SALIDASOF[LOTE],INVENTARIOOFICINA[[#This Row],[LOTE]]),"-")</f>
        <v>0</v>
      </c>
      <c r="F182" s="20">
        <f>INVENTARIOOFICINA[[#This Row],[ENTRADAS]]-INVENTARIOOFICINA[[#This Row],[SALIDAS]]</f>
        <v>0</v>
      </c>
      <c r="H182">
        <f>INVENTARIOOFICINA[[#This Row],[PRECIO UNITARIO ]]*INVENTARIOOFICINA[[#This Row],[STOCK ACTUAL ]]</f>
        <v>0</v>
      </c>
    </row>
    <row r="183" spans="2:8" x14ac:dyDescent="0.2">
      <c r="B183" s="3"/>
      <c r="D183">
        <f>IFERROR(SUMIFS(ENTRADASOF[CANTIDAD],ENTRADASOF[DESCRIPCIÓN],INVENTARIOOFICINA[[#This Row],[DESCRIPCIÓN ]],ENTRADASOF[LOTE],INVENTARIOOFICINA[[#This Row],[LOTE]]),"-")</f>
        <v>0</v>
      </c>
      <c r="E183">
        <f>IFERROR(SUMIFS(SALIDASOF[CANTIDAD],SALIDASOF[DESCRIPCIÓN],INVENTARIOOFICINA[[#This Row],[DESCRIPCIÓN ]],SALIDASOF[LOTE],INVENTARIOOFICINA[[#This Row],[LOTE]]),"-")</f>
        <v>0</v>
      </c>
      <c r="F183" s="20">
        <f>INVENTARIOOFICINA[[#This Row],[ENTRADAS]]-INVENTARIOOFICINA[[#This Row],[SALIDAS]]</f>
        <v>0</v>
      </c>
      <c r="H183">
        <f>INVENTARIOOFICINA[[#This Row],[PRECIO UNITARIO ]]*INVENTARIOOFICINA[[#This Row],[STOCK ACTUAL ]]</f>
        <v>0</v>
      </c>
    </row>
    <row r="184" spans="2:8" x14ac:dyDescent="0.2">
      <c r="B184" s="3"/>
      <c r="D184">
        <f>IFERROR(SUMIFS(ENTRADASOF[CANTIDAD],ENTRADASOF[DESCRIPCIÓN],INVENTARIOOFICINA[[#This Row],[DESCRIPCIÓN ]],ENTRADASOF[LOTE],INVENTARIOOFICINA[[#This Row],[LOTE]]),"-")</f>
        <v>0</v>
      </c>
      <c r="E184">
        <f>IFERROR(SUMIFS(SALIDASOF[CANTIDAD],SALIDASOF[DESCRIPCIÓN],INVENTARIOOFICINA[[#This Row],[DESCRIPCIÓN ]],SALIDASOF[LOTE],INVENTARIOOFICINA[[#This Row],[LOTE]]),"-")</f>
        <v>0</v>
      </c>
      <c r="F184" s="20">
        <f>INVENTARIOOFICINA[[#This Row],[ENTRADAS]]-INVENTARIOOFICINA[[#This Row],[SALIDAS]]</f>
        <v>0</v>
      </c>
      <c r="H184">
        <f>INVENTARIOOFICINA[[#This Row],[PRECIO UNITARIO ]]*INVENTARIOOFICINA[[#This Row],[STOCK ACTUAL ]]</f>
        <v>0</v>
      </c>
    </row>
    <row r="185" spans="2:8" x14ac:dyDescent="0.2">
      <c r="B185" s="3"/>
      <c r="D185">
        <f>IFERROR(SUMIFS(ENTRADASOF[CANTIDAD],ENTRADASOF[DESCRIPCIÓN],INVENTARIOOFICINA[[#This Row],[DESCRIPCIÓN ]],ENTRADASOF[LOTE],INVENTARIOOFICINA[[#This Row],[LOTE]]),"-")</f>
        <v>0</v>
      </c>
      <c r="E185">
        <f>IFERROR(SUMIFS(SALIDASOF[CANTIDAD],SALIDASOF[DESCRIPCIÓN],INVENTARIOOFICINA[[#This Row],[DESCRIPCIÓN ]],SALIDASOF[LOTE],INVENTARIOOFICINA[[#This Row],[LOTE]]),"-")</f>
        <v>0</v>
      </c>
      <c r="F185" s="20">
        <f>INVENTARIOOFICINA[[#This Row],[ENTRADAS]]-INVENTARIOOFICINA[[#This Row],[SALIDAS]]</f>
        <v>0</v>
      </c>
      <c r="H185">
        <f>INVENTARIOOFICINA[[#This Row],[PRECIO UNITARIO ]]*INVENTARIOOFICINA[[#This Row],[STOCK ACTUAL ]]</f>
        <v>0</v>
      </c>
    </row>
    <row r="186" spans="2:8" x14ac:dyDescent="0.2">
      <c r="B186" s="3"/>
      <c r="D186">
        <f>IFERROR(SUMIFS(ENTRADASOF[CANTIDAD],ENTRADASOF[DESCRIPCIÓN],INVENTARIOOFICINA[[#This Row],[DESCRIPCIÓN ]],ENTRADASOF[LOTE],INVENTARIOOFICINA[[#This Row],[LOTE]]),"-")</f>
        <v>0</v>
      </c>
      <c r="E186">
        <f>IFERROR(SUMIFS(SALIDASOF[CANTIDAD],SALIDASOF[DESCRIPCIÓN],INVENTARIOOFICINA[[#This Row],[DESCRIPCIÓN ]],SALIDASOF[LOTE],INVENTARIOOFICINA[[#This Row],[LOTE]]),"-")</f>
        <v>0</v>
      </c>
      <c r="F186" s="20">
        <f>INVENTARIOOFICINA[[#This Row],[ENTRADAS]]-INVENTARIOOFICINA[[#This Row],[SALIDAS]]</f>
        <v>0</v>
      </c>
      <c r="H186">
        <f>INVENTARIOOFICINA[[#This Row],[PRECIO UNITARIO ]]*INVENTARIOOFICINA[[#This Row],[STOCK ACTUAL ]]</f>
        <v>0</v>
      </c>
    </row>
    <row r="187" spans="2:8" x14ac:dyDescent="0.2">
      <c r="B187" s="3"/>
      <c r="D187">
        <f>IFERROR(SUMIFS(ENTRADASOF[CANTIDAD],ENTRADASOF[DESCRIPCIÓN],INVENTARIOOFICINA[[#This Row],[DESCRIPCIÓN ]],ENTRADASOF[LOTE],INVENTARIOOFICINA[[#This Row],[LOTE]]),"-")</f>
        <v>0</v>
      </c>
      <c r="E187">
        <f>IFERROR(SUMIFS(SALIDASOF[CANTIDAD],SALIDASOF[DESCRIPCIÓN],INVENTARIOOFICINA[[#This Row],[DESCRIPCIÓN ]],SALIDASOF[LOTE],INVENTARIOOFICINA[[#This Row],[LOTE]]),"-")</f>
        <v>0</v>
      </c>
      <c r="F187" s="20">
        <f>INVENTARIOOFICINA[[#This Row],[ENTRADAS]]-INVENTARIOOFICINA[[#This Row],[SALIDAS]]</f>
        <v>0</v>
      </c>
      <c r="H187">
        <f>INVENTARIOOFICINA[[#This Row],[PRECIO UNITARIO ]]*INVENTARIOOFICINA[[#This Row],[STOCK ACTUAL ]]</f>
        <v>0</v>
      </c>
    </row>
    <row r="188" spans="2:8" x14ac:dyDescent="0.2">
      <c r="B188" s="3"/>
      <c r="D188">
        <f>IFERROR(SUMIFS(ENTRADASOF[CANTIDAD],ENTRADASOF[DESCRIPCIÓN],INVENTARIOOFICINA[[#This Row],[DESCRIPCIÓN ]],ENTRADASOF[LOTE],INVENTARIOOFICINA[[#This Row],[LOTE]]),"-")</f>
        <v>0</v>
      </c>
      <c r="E188">
        <f>IFERROR(SUMIFS(SALIDASOF[CANTIDAD],SALIDASOF[DESCRIPCIÓN],INVENTARIOOFICINA[[#This Row],[DESCRIPCIÓN ]],SALIDASOF[LOTE],INVENTARIOOFICINA[[#This Row],[LOTE]]),"-")</f>
        <v>0</v>
      </c>
      <c r="F188" s="20">
        <f>INVENTARIOOFICINA[[#This Row],[ENTRADAS]]-INVENTARIOOFICINA[[#This Row],[SALIDAS]]</f>
        <v>0</v>
      </c>
      <c r="H188">
        <f>INVENTARIOOFICINA[[#This Row],[PRECIO UNITARIO ]]*INVENTARIOOFICINA[[#This Row],[STOCK ACTUAL ]]</f>
        <v>0</v>
      </c>
    </row>
    <row r="189" spans="2:8" x14ac:dyDescent="0.2">
      <c r="B189" s="3"/>
      <c r="D189">
        <f>IFERROR(SUMIFS(ENTRADASOF[CANTIDAD],ENTRADASOF[DESCRIPCIÓN],INVENTARIOOFICINA[[#This Row],[DESCRIPCIÓN ]],ENTRADASOF[LOTE],INVENTARIOOFICINA[[#This Row],[LOTE]]),"-")</f>
        <v>0</v>
      </c>
      <c r="E189">
        <f>IFERROR(SUMIFS(SALIDASOF[CANTIDAD],SALIDASOF[DESCRIPCIÓN],INVENTARIOOFICINA[[#This Row],[DESCRIPCIÓN ]],SALIDASOF[LOTE],INVENTARIOOFICINA[[#This Row],[LOTE]]),"-")</f>
        <v>0</v>
      </c>
      <c r="F189" s="20">
        <f>INVENTARIOOFICINA[[#This Row],[ENTRADAS]]-INVENTARIOOFICINA[[#This Row],[SALIDAS]]</f>
        <v>0</v>
      </c>
      <c r="H189">
        <f>INVENTARIOOFICINA[[#This Row],[PRECIO UNITARIO ]]*INVENTARIOOFICINA[[#This Row],[STOCK ACTUAL ]]</f>
        <v>0</v>
      </c>
    </row>
    <row r="190" spans="2:8" x14ac:dyDescent="0.2">
      <c r="B190" s="3"/>
      <c r="D190">
        <f>IFERROR(SUMIFS(ENTRADASOF[CANTIDAD],ENTRADASOF[DESCRIPCIÓN],INVENTARIOOFICINA[[#This Row],[DESCRIPCIÓN ]],ENTRADASOF[LOTE],INVENTARIOOFICINA[[#This Row],[LOTE]]),"-")</f>
        <v>0</v>
      </c>
      <c r="E190">
        <f>IFERROR(SUMIFS(SALIDASOF[CANTIDAD],SALIDASOF[DESCRIPCIÓN],INVENTARIOOFICINA[[#This Row],[DESCRIPCIÓN ]],SALIDASOF[LOTE],INVENTARIOOFICINA[[#This Row],[LOTE]]),"-")</f>
        <v>0</v>
      </c>
      <c r="F190" s="20">
        <f>INVENTARIOOFICINA[[#This Row],[ENTRADAS]]-INVENTARIOOFICINA[[#This Row],[SALIDAS]]</f>
        <v>0</v>
      </c>
      <c r="H190">
        <f>INVENTARIOOFICINA[[#This Row],[PRECIO UNITARIO ]]*INVENTARIOOFICINA[[#This Row],[STOCK ACTUAL ]]</f>
        <v>0</v>
      </c>
    </row>
    <row r="191" spans="2:8" x14ac:dyDescent="0.2">
      <c r="B191" s="3"/>
      <c r="D191">
        <f>IFERROR(SUMIFS(ENTRADASOF[CANTIDAD],ENTRADASOF[DESCRIPCIÓN],INVENTARIOOFICINA[[#This Row],[DESCRIPCIÓN ]],ENTRADASOF[LOTE],INVENTARIOOFICINA[[#This Row],[LOTE]]),"-")</f>
        <v>0</v>
      </c>
      <c r="E191">
        <f>IFERROR(SUMIFS(SALIDASOF[CANTIDAD],SALIDASOF[DESCRIPCIÓN],INVENTARIOOFICINA[[#This Row],[DESCRIPCIÓN ]],SALIDASOF[LOTE],INVENTARIOOFICINA[[#This Row],[LOTE]]),"-")</f>
        <v>0</v>
      </c>
      <c r="F191" s="20">
        <f>INVENTARIOOFICINA[[#This Row],[ENTRADAS]]-INVENTARIOOFICINA[[#This Row],[SALIDAS]]</f>
        <v>0</v>
      </c>
      <c r="H191">
        <f>INVENTARIOOFICINA[[#This Row],[PRECIO UNITARIO ]]*INVENTARIOOFICINA[[#This Row],[STOCK ACTUAL ]]</f>
        <v>0</v>
      </c>
    </row>
    <row r="192" spans="2:8" x14ac:dyDescent="0.2">
      <c r="B192" s="3"/>
      <c r="D192">
        <f>IFERROR(SUMIFS(ENTRADASOF[CANTIDAD],ENTRADASOF[DESCRIPCIÓN],INVENTARIOOFICINA[[#This Row],[DESCRIPCIÓN ]],ENTRADASOF[LOTE],INVENTARIOOFICINA[[#This Row],[LOTE]]),"-")</f>
        <v>0</v>
      </c>
      <c r="E192">
        <f>IFERROR(SUMIFS(SALIDASOF[CANTIDAD],SALIDASOF[DESCRIPCIÓN],INVENTARIOOFICINA[[#This Row],[DESCRIPCIÓN ]],SALIDASOF[LOTE],INVENTARIOOFICINA[[#This Row],[LOTE]]),"-")</f>
        <v>0</v>
      </c>
      <c r="F192" s="20">
        <f>INVENTARIOOFICINA[[#This Row],[ENTRADAS]]-INVENTARIOOFICINA[[#This Row],[SALIDAS]]</f>
        <v>0</v>
      </c>
      <c r="H192">
        <f>INVENTARIOOFICINA[[#This Row],[PRECIO UNITARIO ]]*INVENTARIOOFICINA[[#This Row],[STOCK ACTUAL ]]</f>
        <v>0</v>
      </c>
    </row>
    <row r="193" spans="2:8" x14ac:dyDescent="0.2">
      <c r="B193" s="3"/>
      <c r="D193">
        <f>IFERROR(SUMIFS(ENTRADASOF[CANTIDAD],ENTRADASOF[DESCRIPCIÓN],INVENTARIOOFICINA[[#This Row],[DESCRIPCIÓN ]],ENTRADASOF[LOTE],INVENTARIOOFICINA[[#This Row],[LOTE]]),"-")</f>
        <v>0</v>
      </c>
      <c r="E193">
        <f>IFERROR(SUMIFS(SALIDASOF[CANTIDAD],SALIDASOF[DESCRIPCIÓN],INVENTARIOOFICINA[[#This Row],[DESCRIPCIÓN ]],SALIDASOF[LOTE],INVENTARIOOFICINA[[#This Row],[LOTE]]),"-")</f>
        <v>0</v>
      </c>
      <c r="F193" s="20">
        <f>INVENTARIOOFICINA[[#This Row],[ENTRADAS]]-INVENTARIOOFICINA[[#This Row],[SALIDAS]]</f>
        <v>0</v>
      </c>
      <c r="H193">
        <f>INVENTARIOOFICINA[[#This Row],[PRECIO UNITARIO ]]*INVENTARIOOFICINA[[#This Row],[STOCK ACTUAL ]]</f>
        <v>0</v>
      </c>
    </row>
    <row r="194" spans="2:8" x14ac:dyDescent="0.2">
      <c r="B194" s="3"/>
      <c r="D194">
        <f>IFERROR(SUMIFS(ENTRADASOF[CANTIDAD],ENTRADASOF[DESCRIPCIÓN],INVENTARIOOFICINA[[#This Row],[DESCRIPCIÓN ]],ENTRADASOF[LOTE],INVENTARIOOFICINA[[#This Row],[LOTE]]),"-")</f>
        <v>0</v>
      </c>
      <c r="E194">
        <f>IFERROR(SUMIFS(SALIDASOF[CANTIDAD],SALIDASOF[DESCRIPCIÓN],INVENTARIOOFICINA[[#This Row],[DESCRIPCIÓN ]],SALIDASOF[LOTE],INVENTARIOOFICINA[[#This Row],[LOTE]]),"-")</f>
        <v>0</v>
      </c>
      <c r="F194" s="20">
        <f>INVENTARIOOFICINA[[#This Row],[ENTRADAS]]-INVENTARIOOFICINA[[#This Row],[SALIDAS]]</f>
        <v>0</v>
      </c>
      <c r="H194">
        <f>INVENTARIOOFICINA[[#This Row],[PRECIO UNITARIO ]]*INVENTARIOOFICINA[[#This Row],[STOCK ACTUAL ]]</f>
        <v>0</v>
      </c>
    </row>
    <row r="195" spans="2:8" x14ac:dyDescent="0.2">
      <c r="B195" s="3"/>
      <c r="D195">
        <f>IFERROR(SUMIFS(ENTRADASOF[CANTIDAD],ENTRADASOF[DESCRIPCIÓN],INVENTARIOOFICINA[[#This Row],[DESCRIPCIÓN ]],ENTRADASOF[LOTE],INVENTARIOOFICINA[[#This Row],[LOTE]]),"-")</f>
        <v>0</v>
      </c>
      <c r="E195">
        <f>IFERROR(SUMIFS(SALIDASOF[CANTIDAD],SALIDASOF[DESCRIPCIÓN],INVENTARIOOFICINA[[#This Row],[DESCRIPCIÓN ]],SALIDASOF[LOTE],INVENTARIOOFICINA[[#This Row],[LOTE]]),"-")</f>
        <v>0</v>
      </c>
      <c r="F195" s="20">
        <f>INVENTARIOOFICINA[[#This Row],[ENTRADAS]]-INVENTARIOOFICINA[[#This Row],[SALIDAS]]</f>
        <v>0</v>
      </c>
      <c r="H195">
        <f>INVENTARIOOFICINA[[#This Row],[PRECIO UNITARIO ]]*INVENTARIOOFICINA[[#This Row],[STOCK ACTUAL ]]</f>
        <v>0</v>
      </c>
    </row>
    <row r="196" spans="2:8" x14ac:dyDescent="0.2">
      <c r="B196" s="3"/>
      <c r="D196">
        <f>IFERROR(SUMIFS(ENTRADASOF[CANTIDAD],ENTRADASOF[DESCRIPCIÓN],INVENTARIOOFICINA[[#This Row],[DESCRIPCIÓN ]],ENTRADASOF[LOTE],INVENTARIOOFICINA[[#This Row],[LOTE]]),"-")</f>
        <v>0</v>
      </c>
      <c r="E196">
        <f>IFERROR(SUMIFS(SALIDASOF[CANTIDAD],SALIDASOF[DESCRIPCIÓN],INVENTARIOOFICINA[[#This Row],[DESCRIPCIÓN ]],SALIDASOF[LOTE],INVENTARIOOFICINA[[#This Row],[LOTE]]),"-")</f>
        <v>0</v>
      </c>
      <c r="F196" s="20">
        <f>INVENTARIOOFICINA[[#This Row],[ENTRADAS]]-INVENTARIOOFICINA[[#This Row],[SALIDAS]]</f>
        <v>0</v>
      </c>
      <c r="H196">
        <f>INVENTARIOOFICINA[[#This Row],[PRECIO UNITARIO ]]*INVENTARIOOFICINA[[#This Row],[STOCK ACTUAL ]]</f>
        <v>0</v>
      </c>
    </row>
    <row r="197" spans="2:8" x14ac:dyDescent="0.2">
      <c r="B197" s="3"/>
      <c r="D197">
        <f>IFERROR(SUMIFS(ENTRADASOF[CANTIDAD],ENTRADASOF[DESCRIPCIÓN],INVENTARIOOFICINA[[#This Row],[DESCRIPCIÓN ]],ENTRADASOF[LOTE],INVENTARIOOFICINA[[#This Row],[LOTE]]),"-")</f>
        <v>0</v>
      </c>
      <c r="E197">
        <f>IFERROR(SUMIFS(SALIDASOF[CANTIDAD],SALIDASOF[DESCRIPCIÓN],INVENTARIOOFICINA[[#This Row],[DESCRIPCIÓN ]],SALIDASOF[LOTE],INVENTARIOOFICINA[[#This Row],[LOTE]]),"-")</f>
        <v>0</v>
      </c>
      <c r="F197" s="20">
        <f>INVENTARIOOFICINA[[#This Row],[ENTRADAS]]-INVENTARIOOFICINA[[#This Row],[SALIDAS]]</f>
        <v>0</v>
      </c>
      <c r="H197">
        <f>INVENTARIOOFICINA[[#This Row],[PRECIO UNITARIO ]]*INVENTARIOOFICINA[[#This Row],[STOCK ACTUAL ]]</f>
        <v>0</v>
      </c>
    </row>
  </sheetData>
  <mergeCells count="1">
    <mergeCell ref="A1:H1"/>
  </mergeCells>
  <phoneticPr fontId="6" type="noConversion"/>
  <conditionalFormatting sqref="F4:F197">
    <cfRule type="iconSet" priority="4">
      <iconSet iconSet="3Symbols">
        <cfvo type="percent" val="0"/>
        <cfvo type="percent" val="10"/>
        <cfvo type="percent" val="50"/>
      </iconSet>
    </cfRule>
  </conditionalFormatting>
  <pageMargins left="0.7" right="0.7" top="0.75" bottom="0.75" header="0.3" footer="0.3"/>
  <pageSetup paperSize="9" orientation="portrait" horizontalDpi="4294967293" verticalDpi="0" r:id="rId1"/>
  <ignoredErrors>
    <ignoredError sqref="A4:A10 A163:A170 A94:A97 A138:A144 A12:A14 A104:A136 A85:A92 A19:A40 A66:A76 A99:A102 A42:A54 A16:A17 A56:A64 A78:A83 A146:A161" calculatedColumn="1"/>
    <ignoredError sqref="A171:A175 A162" numberStoredAsText="1" calculatedColumn="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8FAB-2C95-4A02-A941-56BD93BE8DD1}">
  <sheetPr>
    <tabColor theme="5" tint="0.39997558519241921"/>
  </sheetPr>
  <dimension ref="A1:F198"/>
  <sheetViews>
    <sheetView topLeftCell="A163" workbookViewId="0">
      <selection activeCell="C176" sqref="C176"/>
    </sheetView>
  </sheetViews>
  <sheetFormatPr baseColWidth="10" defaultRowHeight="15" x14ac:dyDescent="0.2"/>
  <cols>
    <col min="1" max="1" width="20.6640625" customWidth="1"/>
    <col min="2" max="2" width="15.6640625" customWidth="1"/>
    <col min="3" max="3" width="21.6640625" customWidth="1"/>
    <col min="4" max="4" width="60.83203125" customWidth="1"/>
    <col min="5" max="5" width="14.33203125" customWidth="1"/>
    <col min="6" max="6" width="14.5" customWidth="1"/>
    <col min="7" max="7" width="19" customWidth="1"/>
  </cols>
  <sheetData>
    <row r="1" spans="1:6" ht="41.25" customHeight="1" x14ac:dyDescent="0.2">
      <c r="A1" s="23" t="s">
        <v>306</v>
      </c>
      <c r="B1" s="23"/>
      <c r="C1" s="23"/>
      <c r="D1" s="23"/>
      <c r="E1" s="23"/>
      <c r="F1" s="23"/>
    </row>
    <row r="3" spans="1:6" ht="50.25" customHeight="1" x14ac:dyDescent="0.2">
      <c r="A3" s="1" t="s">
        <v>7</v>
      </c>
      <c r="B3" s="1" t="s">
        <v>8</v>
      </c>
      <c r="C3" s="1" t="s">
        <v>9</v>
      </c>
      <c r="D3" s="1" t="s">
        <v>0</v>
      </c>
      <c r="E3" s="1" t="s">
        <v>1</v>
      </c>
      <c r="F3" s="1" t="s">
        <v>10</v>
      </c>
    </row>
    <row r="4" spans="1:6" x14ac:dyDescent="0.2">
      <c r="A4" s="4">
        <v>1</v>
      </c>
      <c r="B4" s="5">
        <v>45918</v>
      </c>
      <c r="C4" s="3" t="s">
        <v>629</v>
      </c>
      <c r="D4" s="7" t="str">
        <f>IFERROR(VLOOKUP(ENTRADASOF[[#This Row],[CÓDIGO PRODUCTO]],INVENTARIOOFICINA[],2,FALSE),"-")</f>
        <v>ACEITE BITZER 10 LTS</v>
      </c>
      <c r="E4" s="7" t="str">
        <f>IFERROR(VLOOKUP(ENTRADASOF[[#This Row],[CÓDIGO PRODUCTO]],INVENTARIOOFICINA[],3,FALSE),"-")</f>
        <v>LT028</v>
      </c>
      <c r="F4">
        <v>1</v>
      </c>
    </row>
    <row r="5" spans="1:6" x14ac:dyDescent="0.2">
      <c r="A5" s="4">
        <v>2</v>
      </c>
      <c r="B5" s="5">
        <v>45918</v>
      </c>
      <c r="C5" s="3" t="s">
        <v>630</v>
      </c>
      <c r="D5" s="7" t="str">
        <f>IFERROR(VLOOKUP(ENTRADASOF[[#This Row],[CÓDIGO PRODUCTO]],INVENTARIOOFICINA[],2,FALSE),"-")</f>
        <v>ACOPLE DE MATRIMONIO 1</v>
      </c>
      <c r="E5" s="7" t="str">
        <f>IFERROR(VLOOKUP(ENTRADASOF[[#This Row],[CÓDIGO PRODUCTO]],INVENTARIOOFICINA[],3,FALSE),"-")</f>
        <v>LT005</v>
      </c>
      <c r="F5">
        <v>1</v>
      </c>
    </row>
    <row r="6" spans="1:6" ht="16" x14ac:dyDescent="0.2">
      <c r="A6" s="4">
        <v>3</v>
      </c>
      <c r="B6" s="5">
        <v>45918</v>
      </c>
      <c r="C6" s="2" t="s">
        <v>631</v>
      </c>
      <c r="D6" s="7" t="str">
        <f>IFERROR(VLOOKUP(ENTRADASOF[[#This Row],[CÓDIGO PRODUCTO]],INVENTARIOOFICINA[],2,FALSE),"-")</f>
        <v>ANILLOS PTFE TORNILLOS BITZER OSN</v>
      </c>
      <c r="E6" s="7" t="str">
        <f>IFERROR(VLOOKUP(ENTRADASOF[[#This Row],[CÓDIGO PRODUCTO]],INVENTARIOOFICINA[],3,FALSE),"-")</f>
        <v>LT034</v>
      </c>
      <c r="F6">
        <v>1</v>
      </c>
    </row>
    <row r="7" spans="1:6" x14ac:dyDescent="0.2">
      <c r="A7" s="4">
        <v>4</v>
      </c>
      <c r="B7" s="5">
        <v>45918</v>
      </c>
      <c r="C7" s="3" t="s">
        <v>632</v>
      </c>
      <c r="D7" s="7" t="str">
        <f>IFERROR(VLOOKUP(ENTRADASOF[[#This Row],[CÓDIGO PRODUCTO]],INVENTARIOOFICINA[],2,FALSE),"-")</f>
        <v xml:space="preserve">ARAÑA 450 XL </v>
      </c>
      <c r="E7" s="7" t="str">
        <f>IFERROR(VLOOKUP(ENTRADASOF[[#This Row],[CÓDIGO PRODUCTO]],INVENTARIOOFICINA[],3,FALSE),"-")</f>
        <v>LT011</v>
      </c>
      <c r="F7">
        <v>1</v>
      </c>
    </row>
    <row r="8" spans="1:6" ht="16" x14ac:dyDescent="0.2">
      <c r="A8" s="4">
        <v>5</v>
      </c>
      <c r="B8" s="5">
        <v>45918</v>
      </c>
      <c r="C8" s="2" t="s">
        <v>633</v>
      </c>
      <c r="D8" s="7" t="str">
        <f>IFERROR(VLOOKUP(ENTRADASOF[[#This Row],[CÓDIGO PRODUCTO]],INVENTARIOOFICINA[],2,FALSE),"-")</f>
        <v>BOBINA DANFOSS 100 VOLTS 18 WATTS AKU ONLY</v>
      </c>
      <c r="E8" s="7" t="str">
        <f>IFERROR(VLOOKUP(ENTRADASOF[[#This Row],[CÓDIGO PRODUCTO]],INVENTARIOOFICINA[],3,FALSE),"-")</f>
        <v>LT031</v>
      </c>
      <c r="F8">
        <v>4</v>
      </c>
    </row>
    <row r="9" spans="1:6" ht="16" x14ac:dyDescent="0.2">
      <c r="A9" s="4">
        <v>6</v>
      </c>
      <c r="B9" s="5">
        <v>45918</v>
      </c>
      <c r="C9" s="2" t="s">
        <v>634</v>
      </c>
      <c r="D9" s="7" t="str">
        <f>IFERROR(VLOOKUP(ENTRADASOF[[#This Row],[CÓDIGO PRODUCTO]],INVENTARIOOFICINA[],2,FALSE),"-")</f>
        <v>BOBINA DANFOSS 220 VOLTS 14 WATTS</v>
      </c>
      <c r="E9" s="7" t="str">
        <f>IFERROR(VLOOKUP(ENTRADASOF[[#This Row],[CÓDIGO PRODUCTO]],INVENTARIOOFICINA[],3,FALSE),"-")</f>
        <v>LT039</v>
      </c>
      <c r="F9">
        <v>2</v>
      </c>
    </row>
    <row r="10" spans="1:6" ht="16" x14ac:dyDescent="0.2">
      <c r="A10" s="4">
        <v>7</v>
      </c>
      <c r="B10" s="5">
        <v>45918</v>
      </c>
      <c r="C10" s="2" t="s">
        <v>635</v>
      </c>
      <c r="D10" s="7" t="str">
        <f>IFERROR(VLOOKUP(ENTRADASOF[[#This Row],[CÓDIGO PRODUCTO]],INVENTARIOOFICINA[],2,FALSE),"-")</f>
        <v>BOBINA FRICK 120 VOLTS 9S1A0114 HOS</v>
      </c>
      <c r="E10" s="7" t="str">
        <f>IFERROR(VLOOKUP(ENTRADASOF[[#This Row],[CÓDIGO PRODUCTO]],INVENTARIOOFICINA[],3,FALSE),"-")</f>
        <v>LT031</v>
      </c>
      <c r="F10">
        <v>1</v>
      </c>
    </row>
    <row r="11" spans="1:6" x14ac:dyDescent="0.2">
      <c r="A11" s="4">
        <v>8</v>
      </c>
      <c r="B11" s="5">
        <v>45918</v>
      </c>
      <c r="C11" s="3" t="s">
        <v>636</v>
      </c>
      <c r="D11" s="7" t="str">
        <f>IFERROR(VLOOKUP(ENTRADASOF[[#This Row],[CÓDIGO PRODUCTO]],INVENTARIOOFICINA[],2,FALSE),"-")</f>
        <v>BOMBA DE ACEITE VILTER OEN</v>
      </c>
      <c r="E11" s="7" t="str">
        <f>IFERROR(VLOOKUP(ENTRADASOF[[#This Row],[CÓDIGO PRODUCTO]],INVENTARIOOFICINA[],3,FALSE),"-")</f>
        <v>LT029</v>
      </c>
      <c r="F11">
        <v>1</v>
      </c>
    </row>
    <row r="12" spans="1:6" ht="16" x14ac:dyDescent="0.2">
      <c r="A12" s="4">
        <v>9</v>
      </c>
      <c r="B12" s="5">
        <v>45918</v>
      </c>
      <c r="C12" s="2" t="s">
        <v>637</v>
      </c>
      <c r="D12" s="7" t="str">
        <f>IFERROR(VLOOKUP(ENTRADASOF[[#This Row],[CÓDIGO PRODUCTO]],INVENTARIOOFICINA[],2,FALSE),"-")</f>
        <v xml:space="preserve">BOMBA DE CARGA DE ACEITE MANUAL VILTER </v>
      </c>
      <c r="E12" s="7" t="str">
        <f>IFERROR(VLOOKUP(ENTRADASOF[[#This Row],[CÓDIGO PRODUCTO]],INVENTARIOOFICINA[],3,FALSE),"-")</f>
        <v>LT029</v>
      </c>
      <c r="F12">
        <v>1</v>
      </c>
    </row>
    <row r="13" spans="1:6" x14ac:dyDescent="0.2">
      <c r="A13" s="4">
        <v>10</v>
      </c>
      <c r="B13" s="5">
        <v>45918</v>
      </c>
      <c r="C13" s="3" t="s">
        <v>638</v>
      </c>
      <c r="D13" s="7" t="str">
        <f>IFERROR(VLOOKUP(ENTRADASOF[[#This Row],[CÓDIGO PRODUCTO]],INVENTARIOOFICINA[],2,FALSE),"-")</f>
        <v>BRAZO DE BIELA VILTER 440</v>
      </c>
      <c r="E13" s="7" t="str">
        <f>IFERROR(VLOOKUP(ENTRADASOF[[#This Row],[CÓDIGO PRODUCTO]],INVENTARIOOFICINA[],3,FALSE),"-")</f>
        <v>LT021</v>
      </c>
      <c r="F13">
        <v>2</v>
      </c>
    </row>
    <row r="14" spans="1:6" ht="16" x14ac:dyDescent="0.2">
      <c r="A14" s="4">
        <v>11</v>
      </c>
      <c r="B14" s="5">
        <v>45918</v>
      </c>
      <c r="C14" s="2" t="s">
        <v>639</v>
      </c>
      <c r="D14" s="7" t="str">
        <f>IFERROR(VLOOKUP(ENTRADASOF[[#This Row],[CÓDIGO PRODUCTO]],INVENTARIOOFICINA[],2,FALSE),"-")</f>
        <v xml:space="preserve">BRAZO DE BIELA VILTER 440 ORIGINAL </v>
      </c>
      <c r="E14" s="7" t="str">
        <f>IFERROR(VLOOKUP(ENTRADASOF[[#This Row],[CÓDIGO PRODUCTO]],INVENTARIOOFICINA[],3,FALSE),"-")</f>
        <v>LT021</v>
      </c>
      <c r="F14">
        <v>2</v>
      </c>
    </row>
    <row r="15" spans="1:6" x14ac:dyDescent="0.2">
      <c r="A15" s="4">
        <v>12</v>
      </c>
      <c r="B15" s="5">
        <v>45918</v>
      </c>
      <c r="C15" s="3" t="s">
        <v>640</v>
      </c>
      <c r="D15" s="7" t="str">
        <f>IFERROR(VLOOKUP(ENTRADASOF[[#This Row],[CÓDIGO PRODUCTO]],INVENTARIOOFICINA[],2,FALSE),"-")</f>
        <v>BRAZO DE BIELA VILTER 450 XL</v>
      </c>
      <c r="E15" s="7" t="str">
        <f>IFERROR(VLOOKUP(ENTRADASOF[[#This Row],[CÓDIGO PRODUCTO]],INVENTARIOOFICINA[],3,FALSE),"-")</f>
        <v>LT021</v>
      </c>
      <c r="F15">
        <v>6</v>
      </c>
    </row>
    <row r="16" spans="1:6" ht="16" x14ac:dyDescent="0.2">
      <c r="A16" s="4">
        <v>13</v>
      </c>
      <c r="B16" s="5">
        <v>45918</v>
      </c>
      <c r="C16" s="2" t="s">
        <v>641</v>
      </c>
      <c r="D16" s="7" t="str">
        <f>IFERROR(VLOOKUP(ENTRADASOF[[#This Row],[CÓDIGO PRODUCTO]],INVENTARIOOFICINA[],2,FALSE),"-")</f>
        <v>BRIDA ½ DANFOSS</v>
      </c>
      <c r="E16" s="7" t="str">
        <f>IFERROR(VLOOKUP(ENTRADASOF[[#This Row],[CÓDIGO PRODUCTO]],INVENTARIOOFICINA[],3,FALSE),"-")</f>
        <v>LT044</v>
      </c>
      <c r="F16">
        <v>2</v>
      </c>
    </row>
    <row r="17" spans="1:6" ht="16" x14ac:dyDescent="0.2">
      <c r="A17" s="4">
        <v>14</v>
      </c>
      <c r="B17" s="5">
        <v>45918</v>
      </c>
      <c r="C17" s="2" t="s">
        <v>642</v>
      </c>
      <c r="D17" s="7" t="str">
        <f>IFERROR(VLOOKUP(ENTRADASOF[[#This Row],[CÓDIGO PRODUCTO]],INVENTARIOOFICINA[],2,FALSE),"-")</f>
        <v>BRIDA 1" ¹/₁₂" ORIFICIO</v>
      </c>
      <c r="E17" s="7" t="str">
        <f>IFERROR(VLOOKUP(ENTRADASOF[[#This Row],[CÓDIGO PRODUCTO]],INVENTARIOOFICINA[],3,FALSE),"-")</f>
        <v>LT044</v>
      </c>
      <c r="F17">
        <v>2</v>
      </c>
    </row>
    <row r="18" spans="1:6" x14ac:dyDescent="0.2">
      <c r="A18" s="4">
        <v>15</v>
      </c>
      <c r="B18" s="5">
        <v>45918</v>
      </c>
      <c r="C18" s="3" t="s">
        <v>643</v>
      </c>
      <c r="D18" s="7" t="str">
        <f>IFERROR(VLOOKUP(ENTRADASOF[[#This Row],[CÓDIGO PRODUCTO]],INVENTARIOOFICINA[],2,FALSE),"-")</f>
        <v>BULÓN DE PISTÓN</v>
      </c>
      <c r="E18" s="7" t="str">
        <f>IFERROR(VLOOKUP(ENTRADASOF[[#This Row],[CÓDIGO PRODUCTO]],INVENTARIOOFICINA[],3,FALSE),"-")</f>
        <v>LT008</v>
      </c>
      <c r="F18">
        <v>2</v>
      </c>
    </row>
    <row r="19" spans="1:6" ht="16" x14ac:dyDescent="0.2">
      <c r="A19" s="4">
        <v>16</v>
      </c>
      <c r="B19" s="5">
        <v>45918</v>
      </c>
      <c r="C19" s="2" t="s">
        <v>644</v>
      </c>
      <c r="D19" s="7" t="str">
        <f>IFERROR(VLOOKUP(ENTRADASOF[[#This Row],[CÓDIGO PRODUCTO]],INVENTARIOOFICINA[],2,FALSE),"-")</f>
        <v>CAPUCHA PARA VÁLVULA SOLENOIDE HANSEN</v>
      </c>
      <c r="E19" s="7" t="str">
        <f>IFERROR(VLOOKUP(ENTRADASOF[[#This Row],[CÓDIGO PRODUCTO]],INVENTARIOOFICINA[],3,FALSE),"-")</f>
        <v>LT002</v>
      </c>
      <c r="F19">
        <v>4</v>
      </c>
    </row>
    <row r="20" spans="1:6" x14ac:dyDescent="0.2">
      <c r="A20" s="4">
        <v>17</v>
      </c>
      <c r="B20" s="5">
        <v>45918</v>
      </c>
      <c r="C20" s="3" t="s">
        <v>645</v>
      </c>
      <c r="D20" s="7" t="str">
        <f>IFERROR(VLOOKUP(ENTRADASOF[[#This Row],[CÓDIGO PRODUCTO]],INVENTARIOOFICINA[],2,FALSE),"-")</f>
        <v>CHAPA STD 440 VILTER</v>
      </c>
      <c r="E20" s="7" t="str">
        <f>IFERROR(VLOOKUP(ENTRADASOF[[#This Row],[CÓDIGO PRODUCTO]],INVENTARIOOFICINA[],3,FALSE),"-")</f>
        <v>LT016</v>
      </c>
      <c r="F20">
        <v>6</v>
      </c>
    </row>
    <row r="21" spans="1:6" ht="16" x14ac:dyDescent="0.2">
      <c r="A21" s="4">
        <v>18</v>
      </c>
      <c r="B21" s="5">
        <v>45918</v>
      </c>
      <c r="C21" s="2" t="s">
        <v>646</v>
      </c>
      <c r="D21" s="7" t="str">
        <f>IFERROR(VLOOKUP(ENTRADASOF[[#This Row],[CÓDIGO PRODUCTO]],INVENTARIOOFICINA[],2,FALSE),"-")</f>
        <v xml:space="preserve">CHAPA STD MYCOM B ORIGINAL </v>
      </c>
      <c r="E21" s="7" t="str">
        <f>IFERROR(VLOOKUP(ENTRADASOF[[#This Row],[CÓDIGO PRODUCTO]],INVENTARIOOFICINA[],3,FALSE),"-")</f>
        <v>LT016</v>
      </c>
      <c r="F21">
        <v>1</v>
      </c>
    </row>
    <row r="22" spans="1:6" ht="16" x14ac:dyDescent="0.2">
      <c r="A22" s="4">
        <v>19</v>
      </c>
      <c r="B22" s="5">
        <v>45918</v>
      </c>
      <c r="C22" s="2" t="s">
        <v>647</v>
      </c>
      <c r="D22" s="7" t="str">
        <f>IFERROR(VLOOKUP(ENTRADASOF[[#This Row],[CÓDIGO PRODUCTO]],INVENTARIOOFICINA[],2,FALSE),"-")</f>
        <v>CHAPA VILTER ORIGINAL 0.15"</v>
      </c>
      <c r="E22" s="7" t="str">
        <f>IFERROR(VLOOKUP(ENTRADASOF[[#This Row],[CÓDIGO PRODUCTO]],INVENTARIOOFICINA[],3,FALSE),"-")</f>
        <v>LT016</v>
      </c>
      <c r="F22">
        <v>1</v>
      </c>
    </row>
    <row r="23" spans="1:6" x14ac:dyDescent="0.2">
      <c r="A23" s="4">
        <v>20</v>
      </c>
      <c r="B23" s="5">
        <v>45918</v>
      </c>
      <c r="C23" s="3" t="s">
        <v>648</v>
      </c>
      <c r="D23" s="7" t="str">
        <f>IFERROR(VLOOKUP(ENTRADASOF[[#This Row],[CÓDIGO PRODUCTO]],INVENTARIOOFICINA[],2,FALSE),"-")</f>
        <v>CHAPAS 440 0.30"</v>
      </c>
      <c r="E23" s="7" t="str">
        <f>IFERROR(VLOOKUP(ENTRADASOF[[#This Row],[CÓDIGO PRODUCTO]],INVENTARIOOFICINA[],3,FALSE),"-")</f>
        <v>LT016</v>
      </c>
      <c r="F23">
        <v>3</v>
      </c>
    </row>
    <row r="24" spans="1:6" x14ac:dyDescent="0.2">
      <c r="A24" s="4">
        <v>21</v>
      </c>
      <c r="B24" s="5">
        <v>45918</v>
      </c>
      <c r="C24" s="3" t="s">
        <v>649</v>
      </c>
      <c r="D24" s="7" t="str">
        <f>IFERROR(VLOOKUP(ENTRADASOF[[#This Row],[CÓDIGO PRODUCTO]],INVENTARIOOFICINA[],2,FALSE),"-")</f>
        <v>CHAPAS 450 XL STD</v>
      </c>
      <c r="E24" s="7" t="str">
        <f>IFERROR(VLOOKUP(ENTRADASOF[[#This Row],[CÓDIGO PRODUCTO]],INVENTARIOOFICINA[],3,FALSE),"-")</f>
        <v>LT016</v>
      </c>
      <c r="F24">
        <v>22</v>
      </c>
    </row>
    <row r="25" spans="1:6" x14ac:dyDescent="0.2">
      <c r="A25" s="4">
        <v>22</v>
      </c>
      <c r="B25" s="5">
        <v>45918</v>
      </c>
      <c r="C25" s="3" t="s">
        <v>650</v>
      </c>
      <c r="D25" s="7" t="str">
        <f>IFERROR(VLOOKUP(ENTRADASOF[[#This Row],[CÓDIGO PRODUCTO]],INVENTARIOOFICINA[],2,FALSE),"-")</f>
        <v>CHILL CHECK VILTER TORNILLO 50HP</v>
      </c>
      <c r="E25" s="7" t="str">
        <f>IFERROR(VLOOKUP(ENTRADASOF[[#This Row],[CÓDIGO PRODUCTO]],INVENTARIOOFICINA[],3,FALSE),"-")</f>
        <v>LT015</v>
      </c>
      <c r="F25">
        <v>2</v>
      </c>
    </row>
    <row r="26" spans="1:6" x14ac:dyDescent="0.2">
      <c r="A26" s="4">
        <v>23</v>
      </c>
      <c r="B26" s="5">
        <v>45918</v>
      </c>
      <c r="C26" s="3" t="s">
        <v>651</v>
      </c>
      <c r="D26" s="7" t="str">
        <f>IFERROR(VLOOKUP(ENTRADASOF[[#This Row],[CÓDIGO PRODUCTO]],INVENTARIOOFICINA[],2,FALSE),"-")</f>
        <v xml:space="preserve">CILINDROS MYCON B </v>
      </c>
      <c r="E26" s="7" t="str">
        <f>IFERROR(VLOOKUP(ENTRADASOF[[#This Row],[CÓDIGO PRODUCTO]],INVENTARIOOFICINA[],3,FALSE),"-")</f>
        <v>LT019</v>
      </c>
      <c r="F26">
        <v>2</v>
      </c>
    </row>
    <row r="27" spans="1:6" x14ac:dyDescent="0.2">
      <c r="A27" s="4">
        <v>24</v>
      </c>
      <c r="B27" s="5">
        <v>45918</v>
      </c>
      <c r="C27" s="3" t="s">
        <v>652</v>
      </c>
      <c r="D27" s="7" t="str">
        <f>IFERROR(VLOOKUP(ENTRADASOF[[#This Row],[CÓDIGO PRODUCTO]],INVENTARIOOFICINA[],2,FALSE),"-")</f>
        <v>CILINDROS VILTER 440</v>
      </c>
      <c r="E27" s="7" t="str">
        <f>IFERROR(VLOOKUP(ENTRADASOF[[#This Row],[CÓDIGO PRODUCTO]],INVENTARIOOFICINA[],3,FALSE),"-")</f>
        <v>LT019</v>
      </c>
      <c r="F27">
        <v>2</v>
      </c>
    </row>
    <row r="28" spans="1:6" x14ac:dyDescent="0.2">
      <c r="A28" s="4">
        <v>25</v>
      </c>
      <c r="B28" s="5">
        <v>45918</v>
      </c>
      <c r="C28" s="3" t="s">
        <v>653</v>
      </c>
      <c r="D28" s="7" t="str">
        <f>IFERROR(VLOOKUP(ENTRADASOF[[#This Row],[CÓDIGO PRODUCTO]],INVENTARIOOFICINA[],2,FALSE),"-")</f>
        <v>CILINDROS VILTER 450 XL</v>
      </c>
      <c r="E28" s="7" t="str">
        <f>IFERROR(VLOOKUP(ENTRADASOF[[#This Row],[CÓDIGO PRODUCTO]],INVENTARIOOFICINA[],3,FALSE),"-")</f>
        <v>LT019</v>
      </c>
      <c r="F28">
        <v>3</v>
      </c>
    </row>
    <row r="29" spans="1:6" x14ac:dyDescent="0.2">
      <c r="A29" s="4">
        <v>26</v>
      </c>
      <c r="B29" s="5">
        <v>45918</v>
      </c>
      <c r="C29" s="3" t="s">
        <v>654</v>
      </c>
      <c r="D29" s="7" t="str">
        <f>IFERROR(VLOOKUP(ENTRADASOF[[#This Row],[CÓDIGO PRODUCTO]],INVENTARIOOFICINA[],2,FALSE),"-")</f>
        <v>DANFOSS 1CS/15N/ICLX 80 3"</v>
      </c>
      <c r="E29" s="7" t="str">
        <f>IFERROR(VLOOKUP(ENTRADASOF[[#This Row],[CÓDIGO PRODUCTO]],INVENTARIOOFICINA[],3,FALSE),"-")</f>
        <v>LT027</v>
      </c>
      <c r="F29">
        <v>1</v>
      </c>
    </row>
    <row r="30" spans="1:6" x14ac:dyDescent="0.2">
      <c r="A30" s="4">
        <v>27</v>
      </c>
      <c r="B30" s="5">
        <v>45918</v>
      </c>
      <c r="C30" s="3" t="s">
        <v>655</v>
      </c>
      <c r="D30" s="7" t="str">
        <f>IFERROR(VLOOKUP(ENTRADASOF[[#This Row],[CÓDIGO PRODUCTO]],INVENTARIOOFICINA[],2,FALSE),"-")</f>
        <v>DIAFRAGMA DE DESCARGA</v>
      </c>
      <c r="E30" s="7" t="str">
        <f>IFERROR(VLOOKUP(ENTRADASOF[[#This Row],[CÓDIGO PRODUCTO]],INVENTARIOOFICINA[],3,FALSE),"-")</f>
        <v>LT003</v>
      </c>
      <c r="F30">
        <v>32</v>
      </c>
    </row>
    <row r="31" spans="1:6" ht="16" x14ac:dyDescent="0.2">
      <c r="A31" s="4">
        <v>28</v>
      </c>
      <c r="B31" s="5">
        <v>45918</v>
      </c>
      <c r="C31" s="2" t="s">
        <v>656</v>
      </c>
      <c r="D31" s="7" t="str">
        <f>IFERROR(VLOOKUP(ENTRADASOF[[#This Row],[CÓDIGO PRODUCTO]],INVENTARIOOFICINA[],2,FALSE),"-")</f>
        <v>ELEMENTO TERMOSTÁTICO ALCO AX-3A</v>
      </c>
      <c r="E31" s="7" t="str">
        <f>IFERROR(VLOOKUP(ENTRADASOF[[#This Row],[CÓDIGO PRODUCTO]],INVENTARIOOFICINA[],3,FALSE),"-")</f>
        <v>LT032</v>
      </c>
      <c r="F31">
        <v>1</v>
      </c>
    </row>
    <row r="32" spans="1:6" x14ac:dyDescent="0.2">
      <c r="A32" s="4">
        <v>29</v>
      </c>
      <c r="B32" s="5">
        <v>45918</v>
      </c>
      <c r="C32" s="3" t="s">
        <v>657</v>
      </c>
      <c r="D32" s="7" t="str">
        <f>IFERROR(VLOOKUP(ENTRADASOF[[#This Row],[CÓDIGO PRODUCTO]],INVENTARIOOFICINA[],2,FALSE),"-")</f>
        <v>EMPAQUE BITZER TORNILLO 125HP</v>
      </c>
      <c r="E32" s="7" t="str">
        <f>IFERROR(VLOOKUP(ENTRADASOF[[#This Row],[CÓDIGO PRODUCTO]],INVENTARIOOFICINA[],3,FALSE),"-")</f>
        <v>LT030</v>
      </c>
    </row>
    <row r="33" spans="1:6" x14ac:dyDescent="0.2">
      <c r="A33" s="4">
        <v>30</v>
      </c>
      <c r="B33" s="5">
        <v>45918</v>
      </c>
      <c r="C33" s="3" t="s">
        <v>658</v>
      </c>
      <c r="D33" s="7" t="str">
        <f>IFERROR(VLOOKUP(ENTRADASOF[[#This Row],[CÓDIGO PRODUCTO]],INVENTARIOOFICINA[],2,FALSE),"-")</f>
        <v>EMPAQUE BITZER TORNILLO 50HP</v>
      </c>
      <c r="E33" s="7" t="str">
        <f>IFERROR(VLOOKUP(ENTRADASOF[[#This Row],[CÓDIGO PRODUCTO]],INVENTARIOOFICINA[],3,FALSE),"-")</f>
        <v>LT030</v>
      </c>
      <c r="F33">
        <v>4</v>
      </c>
    </row>
    <row r="34" spans="1:6" x14ac:dyDescent="0.2">
      <c r="A34" s="4">
        <v>31</v>
      </c>
      <c r="B34" s="5">
        <v>45918</v>
      </c>
      <c r="C34" s="3" t="s">
        <v>659</v>
      </c>
      <c r="D34" s="7" t="str">
        <f>IFERROR(VLOOKUP(ENTRADASOF[[#This Row],[CÓDIGO PRODUCTO]],INVENTARIOOFICINA[],2,FALSE),"-")</f>
        <v xml:space="preserve">EMPAQUE BITZER TORNILLO 75HP </v>
      </c>
      <c r="E34" s="7" t="str">
        <f>IFERROR(VLOOKUP(ENTRADASOF[[#This Row],[CÓDIGO PRODUCTO]],INVENTARIOOFICINA[],3,FALSE),"-")</f>
        <v>LT030</v>
      </c>
      <c r="F34">
        <v>1</v>
      </c>
    </row>
    <row r="35" spans="1:6" ht="16" x14ac:dyDescent="0.2">
      <c r="A35" s="4">
        <v>32</v>
      </c>
      <c r="B35" s="5">
        <v>45918</v>
      </c>
      <c r="C35" s="2" t="s">
        <v>660</v>
      </c>
      <c r="D35" s="7" t="str">
        <f>IFERROR(VLOOKUP(ENTRADASOF[[#This Row],[CÓDIGO PRODUCTO]],INVENTARIOOFICINA[],2,FALSE),"-")</f>
        <v>EMPAQUES DE TEFLON PORTA FILTROS D48</v>
      </c>
      <c r="E35" s="7" t="str">
        <f>IFERROR(VLOOKUP(ENTRADASOF[[#This Row],[CÓDIGO PRODUCTO]],INVENTARIOOFICINA[],3,FALSE),"-")</f>
        <v>LT030</v>
      </c>
      <c r="F35">
        <v>1</v>
      </c>
    </row>
    <row r="36" spans="1:6" ht="16" x14ac:dyDescent="0.2">
      <c r="A36" s="4">
        <v>33</v>
      </c>
      <c r="B36" s="5">
        <v>45918</v>
      </c>
      <c r="C36" s="2" t="s">
        <v>661</v>
      </c>
      <c r="D36" s="7" t="str">
        <f>IFERROR(VLOOKUP(ENTRADASOF[[#This Row],[CÓDIGO PRODUCTO]],INVENTARIOOFICINA[],2,FALSE),"-")</f>
        <v>FILTRO COALESCENT FRICK 86,5 x 24 x 18CMS</v>
      </c>
      <c r="E36" s="7" t="str">
        <f>IFERROR(VLOOKUP(ENTRADASOF[[#This Row],[CÓDIGO PRODUCTO]],INVENTARIOOFICINA[],3,FALSE),"-")</f>
        <v>LT010</v>
      </c>
      <c r="F36">
        <v>1</v>
      </c>
    </row>
    <row r="37" spans="1:6" ht="16" x14ac:dyDescent="0.2">
      <c r="A37" s="4">
        <v>34</v>
      </c>
      <c r="B37" s="5">
        <v>45918</v>
      </c>
      <c r="C37" s="2" t="s">
        <v>662</v>
      </c>
      <c r="D37" s="7" t="str">
        <f>IFERROR(VLOOKUP(ENTRADASOF[[#This Row],[CÓDIGO PRODUCTO]],INVENTARIOOFICINA[],2,FALSE),"-")</f>
        <v>FILTRO COLADOR DANFOSS SOLDABLE ½</v>
      </c>
      <c r="E37" s="7" t="str">
        <f>IFERROR(VLOOKUP(ENTRADASOF[[#This Row],[CÓDIGO PRODUCTO]],INVENTARIOOFICINA[],3,FALSE),"-")</f>
        <v>LT010</v>
      </c>
      <c r="F37">
        <v>1</v>
      </c>
    </row>
    <row r="38" spans="1:6" ht="16" x14ac:dyDescent="0.2">
      <c r="A38" s="4">
        <v>35</v>
      </c>
      <c r="B38" s="5">
        <v>45918</v>
      </c>
      <c r="C38" s="2" t="s">
        <v>663</v>
      </c>
      <c r="D38" s="7" t="str">
        <f>IFERROR(VLOOKUP(ENTRADASOF[[#This Row],[CÓDIGO PRODUCTO]],INVENTARIOOFICINA[],2,FALSE),"-")</f>
        <v>FILTRO DE ½" PARKER PARA SOLENOIDE DE ½</v>
      </c>
      <c r="E38" s="7" t="str">
        <f>IFERROR(VLOOKUP(ENTRADASOF[[#This Row],[CÓDIGO PRODUCTO]],INVENTARIOOFICINA[],3,FALSE),"-")</f>
        <v>LT010</v>
      </c>
      <c r="F38">
        <v>2</v>
      </c>
    </row>
    <row r="39" spans="1:6" x14ac:dyDescent="0.2">
      <c r="A39" s="4">
        <v>36</v>
      </c>
      <c r="B39" s="5">
        <v>45918</v>
      </c>
      <c r="C39" s="3" t="s">
        <v>664</v>
      </c>
      <c r="D39" s="7" t="str">
        <f>IFERROR(VLOOKUP(ENTRADASOF[[#This Row],[CÓDIGO PRODUCTO]],INVENTARIOOFICINA[],2,FALSE),"-")</f>
        <v>FILTRO DE ACEITE BITZER TORNILLO HSN/8S</v>
      </c>
      <c r="E39" s="7" t="str">
        <f>IFERROR(VLOOKUP(ENTRADASOF[[#This Row],[CÓDIGO PRODUCTO]],INVENTARIOOFICINA[],3,FALSE),"-")</f>
        <v>LT010</v>
      </c>
      <c r="F39">
        <v>3</v>
      </c>
    </row>
    <row r="40" spans="1:6" x14ac:dyDescent="0.2">
      <c r="A40" s="4">
        <v>37</v>
      </c>
      <c r="B40" s="5">
        <v>45918</v>
      </c>
      <c r="C40" s="3" t="s">
        <v>665</v>
      </c>
      <c r="D40" s="7" t="str">
        <f>IFERROR(VLOOKUP(ENTRADASOF[[#This Row],[CÓDIGO PRODUCTO]],INVENTARIOOFICINA[],2,FALSE),"-")</f>
        <v>FILTRO DE ACEITE ORIGINAL 1448C</v>
      </c>
      <c r="E40" s="7" t="str">
        <f>IFERROR(VLOOKUP(ENTRADASOF[[#This Row],[CÓDIGO PRODUCTO]],INVENTARIOOFICINA[],3,FALSE),"-")</f>
        <v>LT010</v>
      </c>
      <c r="F40">
        <v>2</v>
      </c>
    </row>
    <row r="41" spans="1:6" x14ac:dyDescent="0.2">
      <c r="A41" s="4">
        <v>38</v>
      </c>
      <c r="B41" s="5">
        <v>45918</v>
      </c>
      <c r="C41" s="3" t="s">
        <v>666</v>
      </c>
      <c r="D41" s="7" t="str">
        <f>IFERROR(VLOOKUP(ENTRADASOF[[#This Row],[CÓDIGO PRODUCTO]],INVENTARIOOFICINA[],2,FALSE),"-")</f>
        <v>FILTRO DE ACEITE VILTER 1448C</v>
      </c>
      <c r="E41" s="7" t="str">
        <f>IFERROR(VLOOKUP(ENTRADASOF[[#This Row],[CÓDIGO PRODUCTO]],INVENTARIOOFICINA[],3,FALSE),"-")</f>
        <v>LT010</v>
      </c>
      <c r="F41">
        <v>11</v>
      </c>
    </row>
    <row r="42" spans="1:6" x14ac:dyDescent="0.2">
      <c r="A42" s="4">
        <v>39</v>
      </c>
      <c r="B42" s="5">
        <v>45918</v>
      </c>
      <c r="C42" s="3" t="s">
        <v>667</v>
      </c>
      <c r="D42" s="7" t="str">
        <f>IFERROR(VLOOKUP(ENTRADASOF[[#This Row],[CÓDIGO PRODUCTO]],INVENTARIOOFICINA[],2,FALSE),"-")</f>
        <v>FILTRO DE ACEITO NUGENT 1448C</v>
      </c>
      <c r="E42" s="7" t="str">
        <f>IFERROR(VLOOKUP(ENTRADASOF[[#This Row],[CÓDIGO PRODUCTO]],INVENTARIOOFICINA[],3,FALSE),"-")</f>
        <v>LT010</v>
      </c>
      <c r="F42">
        <v>1</v>
      </c>
    </row>
    <row r="43" spans="1:6" x14ac:dyDescent="0.2">
      <c r="A43" s="4">
        <v>40</v>
      </c>
      <c r="B43" s="5">
        <v>45918</v>
      </c>
      <c r="C43" s="3" t="s">
        <v>668</v>
      </c>
      <c r="D43" s="7" t="str">
        <f>IFERROR(VLOOKUP(ENTRADASOF[[#This Row],[CÓDIGO PRODUCTO]],INVENTARIOOFICINA[],2,FALSE),"-")</f>
        <v>FILTRO DE PIEDRA DANFOSS D48</v>
      </c>
      <c r="E43" s="7" t="str">
        <f>IFERROR(VLOOKUP(ENTRADASOF[[#This Row],[CÓDIGO PRODUCTO]],INVENTARIOOFICINA[],3,FALSE),"-")</f>
        <v>LT010</v>
      </c>
      <c r="F43">
        <v>4</v>
      </c>
    </row>
    <row r="44" spans="1:6" x14ac:dyDescent="0.2">
      <c r="A44" s="4">
        <v>41</v>
      </c>
      <c r="B44" s="5">
        <v>45918</v>
      </c>
      <c r="C44" s="3" t="s">
        <v>669</v>
      </c>
      <c r="D44" s="7" t="str">
        <f>IFERROR(VLOOKUP(ENTRADASOF[[#This Row],[CÓDIGO PRODUCTO]],INVENTARIOOFICINA[],2,FALSE),"-")</f>
        <v>FILTRO FRICK PARTE 950A0020H02</v>
      </c>
      <c r="E44" s="7" t="str">
        <f>IFERROR(VLOOKUP(ENTRADASOF[[#This Row],[CÓDIGO PRODUCTO]],INVENTARIOOFICINA[],3,FALSE),"-")</f>
        <v>LT010</v>
      </c>
      <c r="F44">
        <v>1</v>
      </c>
    </row>
    <row r="45" spans="1:6" x14ac:dyDescent="0.2">
      <c r="A45" s="4">
        <v>42</v>
      </c>
      <c r="B45" s="5">
        <v>45918</v>
      </c>
      <c r="C45" s="3" t="s">
        <v>670</v>
      </c>
      <c r="D45" s="7" t="str">
        <f>IFERROR(VLOOKUP(ENTRADASOF[[#This Row],[CÓDIGO PRODUCTO]],INVENTARIOOFICINA[],2,FALSE),"-")</f>
        <v>FILTRO MYCON TORNILLO 200 USD</v>
      </c>
      <c r="E45" s="7" t="str">
        <f>IFERROR(VLOOKUP(ENTRADASOF[[#This Row],[CÓDIGO PRODUCTO]],INVENTARIOOFICINA[],3,FALSE),"-")</f>
        <v>LT010</v>
      </c>
      <c r="F45">
        <v>3</v>
      </c>
    </row>
    <row r="46" spans="1:6" x14ac:dyDescent="0.2">
      <c r="A46" s="4">
        <v>43</v>
      </c>
      <c r="B46" s="5">
        <v>45918</v>
      </c>
      <c r="C46" s="3" t="s">
        <v>671</v>
      </c>
      <c r="D46" s="7" t="str">
        <f>IFERROR(VLOOKUP(ENTRADASOF[[#This Row],[CÓDIGO PRODUCTO]],INVENTARIOOFICINA[],2,FALSE),"-")</f>
        <v>FILTRO SABROE SMC 100</v>
      </c>
      <c r="E46" s="7" t="str">
        <f>IFERROR(VLOOKUP(ENTRADASOF[[#This Row],[CÓDIGO PRODUCTO]],INVENTARIOOFICINA[],3,FALSE),"-")</f>
        <v>LT010</v>
      </c>
      <c r="F46">
        <v>1</v>
      </c>
    </row>
    <row r="47" spans="1:6" x14ac:dyDescent="0.2">
      <c r="A47" s="4">
        <v>44</v>
      </c>
      <c r="B47" s="5">
        <v>45918</v>
      </c>
      <c r="C47" s="3" t="s">
        <v>672</v>
      </c>
      <c r="D47" s="7" t="str">
        <f>IFERROR(VLOOKUP(ENTRADASOF[[#This Row],[CÓDIGO PRODUCTO]],INVENTARIOOFICINA[],2,FALSE),"-")</f>
        <v>FLOTADOR DE NIVEL PARKER COMPLETO</v>
      </c>
      <c r="E47" s="7" t="str">
        <f>IFERROR(VLOOKUP(ENTRADASOF[[#This Row],[CÓDIGO PRODUCTO]],INVENTARIOOFICINA[],3,FALSE),"-")</f>
        <v>LT006</v>
      </c>
      <c r="F47">
        <v>1</v>
      </c>
    </row>
    <row r="48" spans="1:6" ht="16" x14ac:dyDescent="0.2">
      <c r="A48" s="4">
        <v>45</v>
      </c>
      <c r="B48" s="5">
        <v>45918</v>
      </c>
      <c r="C48" s="2" t="s">
        <v>673</v>
      </c>
      <c r="D48" s="7" t="str">
        <f>IFERROR(VLOOKUP(ENTRADASOF[[#This Row],[CÓDIGO PRODUCTO]],INVENTARIOOFICINA[],2,FALSE),"-")</f>
        <v>GALLETA PARA VÁLVULA PARKER ½"</v>
      </c>
      <c r="E48" s="7" t="str">
        <f>IFERROR(VLOOKUP(ENTRADASOF[[#This Row],[CÓDIGO PRODUCTO]],INVENTARIOOFICINA[],3,FALSE),"-")</f>
        <v>LT002</v>
      </c>
      <c r="F48">
        <v>2</v>
      </c>
    </row>
    <row r="49" spans="1:6" x14ac:dyDescent="0.2">
      <c r="A49" s="4">
        <v>46</v>
      </c>
      <c r="B49" s="5">
        <v>45918</v>
      </c>
      <c r="C49" s="3" t="s">
        <v>674</v>
      </c>
      <c r="D49" s="7" t="str">
        <f>IFERROR(VLOOKUP(ENTRADASOF[[#This Row],[CÓDIGO PRODUCTO]],INVENTARIOOFICINA[],2,FALSE),"-")</f>
        <v>HEATER VILTER 120 VOLTS</v>
      </c>
      <c r="E49" s="7" t="str">
        <f>IFERROR(VLOOKUP(ENTRADASOF[[#This Row],[CÓDIGO PRODUCTO]],INVENTARIOOFICINA[],3,FALSE),"-")</f>
        <v>LT024</v>
      </c>
      <c r="F49">
        <v>3</v>
      </c>
    </row>
    <row r="50" spans="1:6" ht="16" x14ac:dyDescent="0.2">
      <c r="A50" s="4">
        <v>47</v>
      </c>
      <c r="B50" s="5">
        <v>45918</v>
      </c>
      <c r="C50" s="2" t="s">
        <v>675</v>
      </c>
      <c r="D50" s="7" t="str">
        <f>IFERROR(VLOOKUP(ENTRADASOF[[#This Row],[CÓDIGO PRODUCTO]],INVENTARIOOFICINA[],2,FALSE),"-")</f>
        <v>KIT COMPLETO DE PISTÓN Y BRAZO DE BIELA VILTER 440</v>
      </c>
      <c r="E50" s="7" t="str">
        <f>IFERROR(VLOOKUP(ENTRADASOF[[#This Row],[CÓDIGO PRODUCTO]],INVENTARIOOFICINA[],3,FALSE),"-")</f>
        <v>LT017</v>
      </c>
      <c r="F50">
        <v>1</v>
      </c>
    </row>
    <row r="51" spans="1:6" ht="16" x14ac:dyDescent="0.2">
      <c r="A51" s="4">
        <v>48</v>
      </c>
      <c r="B51" s="5">
        <v>45918</v>
      </c>
      <c r="C51" s="2" t="s">
        <v>676</v>
      </c>
      <c r="D51" s="7" t="str">
        <f>IFERROR(VLOOKUP(ENTRADASOF[[#This Row],[CÓDIGO PRODUCTO]],INVENTARIOOFICINA[],2,FALSE),"-")</f>
        <v>KIT DE EMPAQUE DANFOSS ICLX50 / CS50</v>
      </c>
      <c r="E51" s="7" t="str">
        <f>IFERROR(VLOOKUP(ENTRADASOF[[#This Row],[CÓDIGO PRODUCTO]],INVENTARIOOFICINA[],3,FALSE),"-")</f>
        <v>LT017</v>
      </c>
      <c r="F51">
        <v>1</v>
      </c>
    </row>
    <row r="52" spans="1:6" x14ac:dyDescent="0.2">
      <c r="A52" s="4">
        <v>49</v>
      </c>
      <c r="B52" s="5">
        <v>45918</v>
      </c>
      <c r="C52" s="3" t="s">
        <v>677</v>
      </c>
      <c r="D52" s="7" t="str">
        <f>IFERROR(VLOOKUP(ENTRADASOF[[#This Row],[CÓDIGO PRODUCTO]],INVENTARIOOFICINA[],2,FALSE),"-")</f>
        <v>KIT DE EMPAQUE VILTER 044 ORIGINAL</v>
      </c>
      <c r="E52" s="7" t="str">
        <f>IFERROR(VLOOKUP(ENTRADASOF[[#This Row],[CÓDIGO PRODUCTO]],INVENTARIOOFICINA[],3,FALSE),"-")</f>
        <v>LT017</v>
      </c>
      <c r="F52">
        <v>1</v>
      </c>
    </row>
    <row r="53" spans="1:6" ht="16" x14ac:dyDescent="0.2">
      <c r="A53" s="4">
        <v>50</v>
      </c>
      <c r="B53" s="5">
        <v>45918</v>
      </c>
      <c r="C53" s="2" t="s">
        <v>678</v>
      </c>
      <c r="D53" s="7" t="str">
        <f>IFERROR(VLOOKUP(ENTRADASOF[[#This Row],[CÓDIGO PRODUCTO]],INVENTARIOOFICINA[],2,FALSE),"-")</f>
        <v>KIT DE ORINGS Y EMPAQUES FRICK XSF151</v>
      </c>
      <c r="E53" s="7" t="str">
        <f>IFERROR(VLOOKUP(ENTRADASOF[[#This Row],[CÓDIGO PRODUCTO]],INVENTARIOOFICINA[],3,FALSE),"-")</f>
        <v>LT017</v>
      </c>
      <c r="F53">
        <v>1</v>
      </c>
    </row>
    <row r="54" spans="1:6" x14ac:dyDescent="0.2">
      <c r="A54" s="4">
        <v>51</v>
      </c>
      <c r="B54" s="5">
        <v>45918</v>
      </c>
      <c r="C54" s="3" t="s">
        <v>679</v>
      </c>
      <c r="D54" s="7" t="str">
        <f>IFERROR(VLOOKUP(ENTRADASOF[[#This Row],[CÓDIGO PRODUCTO]],INVENTARIOOFICINA[],2,FALSE),"-")</f>
        <v>KIT DE REPARACÓN BOMBA ACEITE VILTER</v>
      </c>
      <c r="E54" s="7" t="str">
        <f>IFERROR(VLOOKUP(ENTRADASOF[[#This Row],[CÓDIGO PRODUCTO]],INVENTARIOOFICINA[],3,FALSE),"-")</f>
        <v>LT017</v>
      </c>
      <c r="F54">
        <v>4</v>
      </c>
    </row>
    <row r="55" spans="1:6" x14ac:dyDescent="0.2">
      <c r="A55" s="4">
        <v>52</v>
      </c>
      <c r="B55" s="5">
        <v>45918</v>
      </c>
      <c r="C55" s="3" t="s">
        <v>680</v>
      </c>
      <c r="D55" s="7" t="str">
        <f>IFERROR(VLOOKUP(ENTRADASOF[[#This Row],[CÓDIGO PRODUCTO]],INVENTARIOOFICINA[],2,FALSE),"-")</f>
        <v>KIT DE RODAMIENTO FRICK TDSL 193</v>
      </c>
      <c r="E55" s="7" t="str">
        <f>IFERROR(VLOOKUP(ENTRADASOF[[#This Row],[CÓDIGO PRODUCTO]],INVENTARIOOFICINA[],3,FALSE),"-")</f>
        <v>LT017</v>
      </c>
      <c r="F55">
        <v>1</v>
      </c>
    </row>
    <row r="56" spans="1:6" x14ac:dyDescent="0.2">
      <c r="A56" s="4">
        <v>53</v>
      </c>
      <c r="B56" s="5">
        <v>45918</v>
      </c>
      <c r="C56" s="3" t="s">
        <v>681</v>
      </c>
      <c r="D56" s="7" t="str">
        <f>IFERROR(VLOOKUP(ENTRADASOF[[#This Row],[CÓDIGO PRODUCTO]],INVENTARIOOFICINA[],2,FALSE),"-")</f>
        <v>MAIN BEARING MYCOM B</v>
      </c>
      <c r="E56" s="7" t="str">
        <f>IFERROR(VLOOKUP(ENTRADASOF[[#This Row],[CÓDIGO PRODUCTO]],INVENTARIOOFICINA[],3,FALSE),"-")</f>
        <v>LT004</v>
      </c>
      <c r="F56">
        <v>1</v>
      </c>
    </row>
    <row r="57" spans="1:6" x14ac:dyDescent="0.2">
      <c r="A57" s="4">
        <v>54</v>
      </c>
      <c r="B57" s="5">
        <v>45918</v>
      </c>
      <c r="C57" s="3" t="s">
        <v>682</v>
      </c>
      <c r="D57" s="7" t="str">
        <f>IFERROR(VLOOKUP(ENTRADASOF[[#This Row],[CÓDIGO PRODUCTO]],INVENTARIOOFICINA[],2,FALSE),"-")</f>
        <v>MANÓMETRO SEREFRIND 2 ½ 150 PSI</v>
      </c>
      <c r="E57" s="7" t="str">
        <f>IFERROR(VLOOKUP(ENTRADASOF[[#This Row],[CÓDIGO PRODUCTO]],INVENTARIOOFICINA[],3,FALSE),"-")</f>
        <v>LT023</v>
      </c>
      <c r="F57">
        <v>7</v>
      </c>
    </row>
    <row r="58" spans="1:6" x14ac:dyDescent="0.2">
      <c r="A58" s="4">
        <v>55</v>
      </c>
      <c r="B58" s="5">
        <v>45918</v>
      </c>
      <c r="C58" s="3" t="s">
        <v>683</v>
      </c>
      <c r="D58" s="7" t="str">
        <f>IFERROR(VLOOKUP(ENTRADASOF[[#This Row],[CÓDIGO PRODUCTO]],INVENTARIOOFICINA[],2,FALSE),"-")</f>
        <v xml:space="preserve">MANÓMETRO SEREFRIND 2 ½ 300 PSI </v>
      </c>
      <c r="E58" s="7" t="str">
        <f>IFERROR(VLOOKUP(ENTRADASOF[[#This Row],[CÓDIGO PRODUCTO]],INVENTARIOOFICINA[],3,FALSE),"-")</f>
        <v>LT023</v>
      </c>
      <c r="F58">
        <v>6</v>
      </c>
    </row>
    <row r="59" spans="1:6" ht="16" x14ac:dyDescent="0.2">
      <c r="A59" s="4">
        <v>56</v>
      </c>
      <c r="B59" s="5">
        <v>45918</v>
      </c>
      <c r="C59" s="2" t="s">
        <v>684</v>
      </c>
      <c r="D59" s="7" t="str">
        <f>IFERROR(VLOOKUP(ENTRADASOF[[#This Row],[CÓDIGO PRODUCTO]],INVENTARIOOFICINA[],2,FALSE),"-")</f>
        <v>MANÓMETRO SEREFRIND 300 PSIG</v>
      </c>
      <c r="E59" s="7" t="str">
        <f>IFERROR(VLOOKUP(ENTRADASOF[[#This Row],[CÓDIGO PRODUCTO]],INVENTARIOOFICINA[],3,FALSE),"-")</f>
        <v>LT023</v>
      </c>
      <c r="F59">
        <v>2</v>
      </c>
    </row>
    <row r="60" spans="1:6" x14ac:dyDescent="0.2">
      <c r="A60" s="4">
        <v>57</v>
      </c>
      <c r="B60" s="5">
        <v>45918</v>
      </c>
      <c r="C60" s="3" t="s">
        <v>685</v>
      </c>
      <c r="D60" s="7" t="str">
        <f>IFERROR(VLOOKUP(ENTRADASOF[[#This Row],[CÓDIGO PRODUCTO]],INVENTARIOOFICINA[],2,FALSE),"-")</f>
        <v>MANÓMETRO SEREFRIND 4" 150 PSIG</v>
      </c>
      <c r="E60" s="7" t="str">
        <f>IFERROR(VLOOKUP(ENTRADASOF[[#This Row],[CÓDIGO PRODUCTO]],INVENTARIOOFICINA[],3,FALSE),"-")</f>
        <v>LT023</v>
      </c>
      <c r="F60">
        <v>1</v>
      </c>
    </row>
    <row r="61" spans="1:6" x14ac:dyDescent="0.2">
      <c r="A61" s="4">
        <v>58</v>
      </c>
      <c r="B61" s="5">
        <v>45918</v>
      </c>
      <c r="C61" s="3" t="s">
        <v>686</v>
      </c>
      <c r="D61" s="7" t="str">
        <f>IFERROR(VLOOKUP(ENTRADASOF[[#This Row],[CÓDIGO PRODUCTO]],INVENTARIOOFICINA[],2,FALSE),"-")</f>
        <v>MANÓMETRO SEREFRIND 4" 300 PSIG</v>
      </c>
      <c r="E61" s="7" t="str">
        <f>IFERROR(VLOOKUP(ENTRADASOF[[#This Row],[CÓDIGO PRODUCTO]],INVENTARIOOFICINA[],3,FALSE),"-")</f>
        <v>LT023</v>
      </c>
      <c r="F61">
        <v>4</v>
      </c>
    </row>
    <row r="62" spans="1:6" ht="16" x14ac:dyDescent="0.2">
      <c r="A62" s="4">
        <v>59</v>
      </c>
      <c r="B62" s="5">
        <v>45918</v>
      </c>
      <c r="C62" s="2" t="s">
        <v>687</v>
      </c>
      <c r="D62" s="7" t="str">
        <f>IFERROR(VLOOKUP(ENTRADASOF[[#This Row],[CÓDIGO PRODUCTO]],INVENTARIOOFICINA[],2,FALSE),"-")</f>
        <v>MANÓMETRO VILTER 300 PSIG</v>
      </c>
      <c r="E62" s="7" t="str">
        <f>IFERROR(VLOOKUP(ENTRADASOF[[#This Row],[CÓDIGO PRODUCTO]],INVENTARIOOFICINA[],3,FALSE),"-")</f>
        <v>LT023</v>
      </c>
      <c r="F62">
        <v>1</v>
      </c>
    </row>
    <row r="63" spans="1:6" ht="16" x14ac:dyDescent="0.2">
      <c r="A63" s="4">
        <v>60</v>
      </c>
      <c r="B63" s="5">
        <v>45918</v>
      </c>
      <c r="C63" s="2" t="s">
        <v>688</v>
      </c>
      <c r="D63" s="7" t="str">
        <f>IFERROR(VLOOKUP(ENTRADASOF[[#This Row],[CÓDIGO PRODUCTO]],INVENTARIOOFICINA[],2,FALSE),"-")</f>
        <v>MECHAS DE AZUFRE</v>
      </c>
      <c r="E63" s="7" t="str">
        <f>IFERROR(VLOOKUP(ENTRADASOF[[#This Row],[CÓDIGO PRODUCTO]],INVENTARIOOFICINA[],3,FALSE),"-")</f>
        <v>LT033</v>
      </c>
      <c r="F63">
        <v>100</v>
      </c>
    </row>
    <row r="64" spans="1:6" x14ac:dyDescent="0.2">
      <c r="A64" s="4">
        <v>61</v>
      </c>
      <c r="B64" s="5">
        <v>45918</v>
      </c>
      <c r="C64" s="3" t="s">
        <v>689</v>
      </c>
      <c r="D64" s="7" t="str">
        <f>IFERROR(VLOOKUP(ENTRADASOF[[#This Row],[CÓDIGO PRODUCTO]],INVENTARIOOFICINA[],2,FALSE),"-")</f>
        <v>MICRO SWITCH FIN DE CARRERA</v>
      </c>
      <c r="E64" s="7" t="str">
        <f>IFERROR(VLOOKUP(ENTRADASOF[[#This Row],[CÓDIGO PRODUCTO]],INVENTARIOOFICINA[],3,FALSE),"-")</f>
        <v>LT014</v>
      </c>
      <c r="F64">
        <v>1</v>
      </c>
    </row>
    <row r="65" spans="1:6" ht="16" x14ac:dyDescent="0.2">
      <c r="A65" s="4">
        <v>62</v>
      </c>
      <c r="B65" s="5">
        <v>45918</v>
      </c>
      <c r="C65" s="2" t="s">
        <v>690</v>
      </c>
      <c r="D65" s="7" t="str">
        <f>IFERROR(VLOOKUP(ENTRADASOF[[#This Row],[CÓDIGO PRODUCTO]],INVENTARIOOFICINA[],2,FALSE),"-")</f>
        <v xml:space="preserve">ORING DE CILINDRO VILTER </v>
      </c>
      <c r="E65" s="7" t="str">
        <f>IFERROR(VLOOKUP(ENTRADASOF[[#This Row],[CÓDIGO PRODUCTO]],INVENTARIOOFICINA[],3,FALSE),"-")</f>
        <v>LT042</v>
      </c>
      <c r="F65">
        <v>20</v>
      </c>
    </row>
    <row r="66" spans="1:6" ht="16" x14ac:dyDescent="0.2">
      <c r="A66" s="4">
        <v>63</v>
      </c>
      <c r="B66" s="5">
        <v>45918</v>
      </c>
      <c r="C66" s="2" t="s">
        <v>691</v>
      </c>
      <c r="D66" s="7" t="str">
        <f>IFERROR(VLOOKUP(ENTRADASOF[[#This Row],[CÓDIGO PRODUCTO]],INVENTARIOOFICINA[],2,FALSE),"-")</f>
        <v>OVERHAL KIT 032F2346 EVRAT 10 EVRAT 10 EVRST 10</v>
      </c>
      <c r="E66" s="7" t="str">
        <f>IFERROR(VLOOKUP(ENTRADASOF[[#This Row],[CÓDIGO PRODUCTO]],INVENTARIOOFICINA[],3,FALSE),"-")</f>
        <v>LT036</v>
      </c>
      <c r="F66">
        <v>2</v>
      </c>
    </row>
    <row r="67" spans="1:6" ht="16" x14ac:dyDescent="0.2">
      <c r="A67" s="4">
        <v>64</v>
      </c>
      <c r="B67" s="5">
        <v>45918</v>
      </c>
      <c r="C67" s="2" t="s">
        <v>692</v>
      </c>
      <c r="D67" s="7" t="str">
        <f>IFERROR(VLOOKUP(ENTRADASOF[[#This Row],[CÓDIGO PRODUCTO]],INVENTARIOOFICINA[],2,FALSE),"-")</f>
        <v>PILOTO DANFOSS CVE-L 027B 0980</v>
      </c>
      <c r="E67" s="7" t="str">
        <f>IFERROR(VLOOKUP(ENTRADASOF[[#This Row],[CÓDIGO PRODUCTO]],INVENTARIOOFICINA[],3,FALSE),"-")</f>
        <v>LT040</v>
      </c>
      <c r="F67">
        <v>2</v>
      </c>
    </row>
    <row r="68" spans="1:6" ht="16" x14ac:dyDescent="0.2">
      <c r="A68" s="4">
        <v>65</v>
      </c>
      <c r="B68" s="5">
        <v>45918</v>
      </c>
      <c r="C68" s="2" t="s">
        <v>693</v>
      </c>
      <c r="D68" s="7" t="str">
        <f>IFERROR(VLOOKUP(ENTRADASOF[[#This Row],[CÓDIGO PRODUCTO]],INVENTARIOOFICINA[],2,FALSE),"-")</f>
        <v>PILOTO EVM NC</v>
      </c>
      <c r="E68" s="7" t="str">
        <f>IFERROR(VLOOKUP(ENTRADASOF[[#This Row],[CÓDIGO PRODUCTO]],INVENTARIOOFICINA[],3,FALSE),"-")</f>
        <v>LT038</v>
      </c>
      <c r="F68">
        <v>3</v>
      </c>
    </row>
    <row r="69" spans="1:6" ht="16" x14ac:dyDescent="0.2">
      <c r="A69" s="4">
        <v>66</v>
      </c>
      <c r="B69" s="5">
        <v>45918</v>
      </c>
      <c r="C69" s="2" t="s">
        <v>694</v>
      </c>
      <c r="D69" s="7" t="str">
        <f>IFERROR(VLOOKUP(ENTRADASOF[[#This Row],[CÓDIGO PRODUCTO]],INVENTARIOOFICINA[],2,FALSE),"-")</f>
        <v>PINES PARA CILINDROS VILTER 440 / 450 XL</v>
      </c>
      <c r="E69" s="7" t="str">
        <f>IFERROR(VLOOKUP(ENTRADASOF[[#This Row],[CÓDIGO PRODUCTO]],INVENTARIOOFICINA[],3,FALSE),"-")</f>
        <v>LT019</v>
      </c>
      <c r="F69">
        <v>155</v>
      </c>
    </row>
    <row r="70" spans="1:6" ht="16" x14ac:dyDescent="0.2">
      <c r="A70" s="4">
        <v>67</v>
      </c>
      <c r="B70" s="5">
        <v>45918</v>
      </c>
      <c r="C70" s="2" t="s">
        <v>695</v>
      </c>
      <c r="D70" s="7" t="str">
        <f>IFERROR(VLOOKUP(ENTRADASOF[[#This Row],[CÓDIGO PRODUCTO]],INVENTARIOOFICINA[],2,FALSE),"-")</f>
        <v>PISTÓN ASSENBLY KIT FOR HS8A HANSEN</v>
      </c>
      <c r="E70" s="7" t="str">
        <f>IFERROR(VLOOKUP(ENTRADASOF[[#This Row],[CÓDIGO PRODUCTO]],INVENTARIOOFICINA[],3,FALSE),"-")</f>
        <v>LT008</v>
      </c>
      <c r="F70">
        <v>7</v>
      </c>
    </row>
    <row r="71" spans="1:6" x14ac:dyDescent="0.2">
      <c r="A71" s="4">
        <v>68</v>
      </c>
      <c r="B71" s="5">
        <v>45918</v>
      </c>
      <c r="C71" s="3" t="s">
        <v>696</v>
      </c>
      <c r="D71" s="7" t="str">
        <f>IFERROR(VLOOKUP(ENTRADASOF[[#This Row],[CÓDIGO PRODUCTO]],INVENTARIOOFICINA[],2,FALSE),"-")</f>
        <v>PISTÓN DE CAPACIDAD NEW STYLE</v>
      </c>
      <c r="E71" s="7" t="str">
        <f>IFERROR(VLOOKUP(ENTRADASOF[[#This Row],[CÓDIGO PRODUCTO]],INVENTARIOOFICINA[],3,FALSE),"-")</f>
        <v>LT008</v>
      </c>
      <c r="F71">
        <v>2</v>
      </c>
    </row>
    <row r="72" spans="1:6" ht="16" x14ac:dyDescent="0.2">
      <c r="A72" s="4">
        <v>69</v>
      </c>
      <c r="B72" s="5">
        <v>45918</v>
      </c>
      <c r="C72" s="2" t="s">
        <v>697</v>
      </c>
      <c r="D72" s="7" t="str">
        <f>IFERROR(VLOOKUP(ENTRADASOF[[#This Row],[CÓDIGO PRODUCTO]],INVENTARIOOFICINA[],2,FALSE),"-")</f>
        <v>PISTÓN DE CAPACIDAD VILTER NEW STYLE</v>
      </c>
      <c r="E72" s="7" t="str">
        <f>IFERROR(VLOOKUP(ENTRADASOF[[#This Row],[CÓDIGO PRODUCTO]],INVENTARIOOFICINA[],3,FALSE),"-")</f>
        <v>LT008</v>
      </c>
      <c r="F72">
        <v>1</v>
      </c>
    </row>
    <row r="73" spans="1:6" ht="16" x14ac:dyDescent="0.2">
      <c r="A73" s="4">
        <v>70</v>
      </c>
      <c r="B73" s="5">
        <v>45918</v>
      </c>
      <c r="C73" s="2" t="s">
        <v>698</v>
      </c>
      <c r="D73" s="7" t="str">
        <f>IFERROR(VLOOKUP(ENTRADASOF[[#This Row],[CÓDIGO PRODUCTO]],INVENTARIOOFICINA[],2,FALSE),"-")</f>
        <v>PISTÓN DE CAPACIDAD VILTER OLD STYLE</v>
      </c>
      <c r="E73" s="7" t="str">
        <f>IFERROR(VLOOKUP(ENTRADASOF[[#This Row],[CÓDIGO PRODUCTO]],INVENTARIOOFICINA[],3,FALSE),"-")</f>
        <v>LT008</v>
      </c>
      <c r="F73">
        <v>1</v>
      </c>
    </row>
    <row r="74" spans="1:6" x14ac:dyDescent="0.2">
      <c r="A74" s="4">
        <v>71</v>
      </c>
      <c r="B74" s="5">
        <v>45918</v>
      </c>
      <c r="C74" s="3" t="s">
        <v>699</v>
      </c>
      <c r="D74" s="7" t="str">
        <f>IFERROR(VLOOKUP(ENTRADASOF[[#This Row],[CÓDIGO PRODUCTO]],INVENTARIOOFICINA[],2,FALSE),"-")</f>
        <v>PISTÓN OEN OLD STYLE</v>
      </c>
      <c r="E74" s="7" t="str">
        <f>IFERROR(VLOOKUP(ENTRADASOF[[#This Row],[CÓDIGO PRODUCTO]],INVENTARIOOFICINA[],3,FALSE),"-")</f>
        <v>LT008</v>
      </c>
      <c r="F74">
        <v>1</v>
      </c>
    </row>
    <row r="75" spans="1:6" x14ac:dyDescent="0.2">
      <c r="A75" s="4">
        <v>72</v>
      </c>
      <c r="B75" s="5">
        <v>45918</v>
      </c>
      <c r="C75" s="3" t="s">
        <v>700</v>
      </c>
      <c r="D75" s="7" t="str">
        <f>IFERROR(VLOOKUP(ENTRADASOF[[#This Row],[CÓDIGO PRODUCTO]],INVENTARIOOFICINA[],2,FALSE),"-")</f>
        <v>PISTÓN OLD STYLE OGN VILTER</v>
      </c>
      <c r="E75" s="7" t="str">
        <f>IFERROR(VLOOKUP(ENTRADASOF[[#This Row],[CÓDIGO PRODUCTO]],INVENTARIOOFICINA[],3,FALSE),"-")</f>
        <v>LT008</v>
      </c>
      <c r="F75">
        <v>1</v>
      </c>
    </row>
    <row r="76" spans="1:6" x14ac:dyDescent="0.2">
      <c r="A76" s="4">
        <v>73</v>
      </c>
      <c r="B76" s="5">
        <v>45918</v>
      </c>
      <c r="C76" s="3" t="s">
        <v>701</v>
      </c>
      <c r="D76" s="7" t="str">
        <f>IFERROR(VLOOKUP(ENTRADASOF[[#This Row],[CÓDIGO PRODUCTO]],INVENTARIOOFICINA[],2,FALSE),"-")</f>
        <v>PISTÓN ORIGINAL OLD STYLE</v>
      </c>
      <c r="E76" s="7" t="str">
        <f>IFERROR(VLOOKUP(ENTRADASOF[[#This Row],[CÓDIGO PRODUCTO]],INVENTARIOOFICINA[],3,FALSE),"-")</f>
        <v>LT008</v>
      </c>
      <c r="F76">
        <v>2</v>
      </c>
    </row>
    <row r="77" spans="1:6" x14ac:dyDescent="0.2">
      <c r="A77" s="4">
        <v>74</v>
      </c>
      <c r="B77" s="5">
        <v>45918</v>
      </c>
      <c r="C77" s="3" t="s">
        <v>702</v>
      </c>
      <c r="D77" s="7" t="str">
        <f>IFERROR(VLOOKUP(ENTRADASOF[[#This Row],[CÓDIGO PRODUCTO]],INVENTARIOOFICINA[],2,FALSE),"-")</f>
        <v>PISTÓN Y BULÓN VILTER</v>
      </c>
      <c r="E77" s="7" t="str">
        <f>IFERROR(VLOOKUP(ENTRADASOF[[#This Row],[CÓDIGO PRODUCTO]],INVENTARIOOFICINA[],3,FALSE),"-")</f>
        <v>LT008</v>
      </c>
      <c r="F77">
        <v>8</v>
      </c>
    </row>
    <row r="78" spans="1:6" x14ac:dyDescent="0.2">
      <c r="A78" s="4">
        <v>75</v>
      </c>
      <c r="B78" s="5">
        <v>45918</v>
      </c>
      <c r="C78" s="3" t="s">
        <v>703</v>
      </c>
      <c r="D78" s="7" t="str">
        <f>IFERROR(VLOOKUP(ENTRADASOF[[#This Row],[CÓDIGO PRODUCTO]],INVENTARIOOFICINA[],2,FALSE),"-")</f>
        <v>PLATO PORTA VÁLVULA VILTER 450 XL</v>
      </c>
      <c r="E78" s="7" t="str">
        <f>IFERROR(VLOOKUP(ENTRADASOF[[#This Row],[CÓDIGO PRODUCTO]],INVENTARIOOFICINA[],3,FALSE),"-")</f>
        <v>LT025</v>
      </c>
      <c r="F78">
        <v>7</v>
      </c>
    </row>
    <row r="79" spans="1:6" ht="16" x14ac:dyDescent="0.2">
      <c r="A79" s="4">
        <v>76</v>
      </c>
      <c r="B79" s="5">
        <v>45918</v>
      </c>
      <c r="C79" s="2" t="s">
        <v>704</v>
      </c>
      <c r="D79" s="7" t="str">
        <f>IFERROR(VLOOKUP(ENTRADASOF[[#This Row],[CÓDIGO PRODUCTO]],INVENTARIOOFICINA[],2,FALSE),"-")</f>
        <v>PRESOSTATO DIFF. P70AA - 119 120 PSI OPGN L0W</v>
      </c>
      <c r="E79" s="7" t="str">
        <f>IFERROR(VLOOKUP(ENTRADASOF[[#This Row],[CÓDIGO PRODUCTO]],INVENTARIOOFICINA[],3,FALSE),"-")</f>
        <v>LT041</v>
      </c>
      <c r="F79">
        <v>1</v>
      </c>
    </row>
    <row r="80" spans="1:6" ht="16" x14ac:dyDescent="0.2">
      <c r="A80" s="4">
        <v>77</v>
      </c>
      <c r="B80" s="5">
        <v>45918</v>
      </c>
      <c r="C80" s="2" t="s">
        <v>705</v>
      </c>
      <c r="D80" s="7" t="str">
        <f>IFERROR(VLOOKUP(ENTRADASOF[[#This Row],[CÓDIGO PRODUCTO]],INVENTARIOOFICINA[],2,FALSE),"-")</f>
        <v>PRESOSTATO JOHNSON CONTROLS P70CA - S 500 PSIG</v>
      </c>
      <c r="E80" s="7" t="str">
        <f>IFERROR(VLOOKUP(ENTRADASOF[[#This Row],[CÓDIGO PRODUCTO]],INVENTARIOOFICINA[],3,FALSE),"-")</f>
        <v>LT041</v>
      </c>
      <c r="F80">
        <v>1</v>
      </c>
    </row>
    <row r="81" spans="1:6" ht="16" x14ac:dyDescent="0.2">
      <c r="A81" s="4">
        <v>78</v>
      </c>
      <c r="B81" s="5">
        <v>45918</v>
      </c>
      <c r="C81" s="2" t="s">
        <v>706</v>
      </c>
      <c r="D81" s="7" t="str">
        <f>IFERROR(VLOOKUP(ENTRADASOF[[#This Row],[CÓDIGO PRODUCTO]],INVENTARIOOFICINA[],2,FALSE),"-")</f>
        <v>PRESOSTATO PEN 100 PSIG P70CA - 64 OPEN HIGH</v>
      </c>
      <c r="E81" s="7" t="str">
        <f>IFERROR(VLOOKUP(ENTRADASOF[[#This Row],[CÓDIGO PRODUCTO]],INVENTARIOOFICINA[],3,FALSE),"-")</f>
        <v>LT041</v>
      </c>
      <c r="F81">
        <v>1</v>
      </c>
    </row>
    <row r="82" spans="1:6" ht="16" x14ac:dyDescent="0.2">
      <c r="A82" s="4">
        <v>79</v>
      </c>
      <c r="B82" s="5">
        <v>45918</v>
      </c>
      <c r="C82" s="2" t="s">
        <v>707</v>
      </c>
      <c r="D82" s="7" t="str">
        <f>IFERROR(VLOOKUP(ENTRADASOF[[#This Row],[CÓDIGO PRODUCTO]],INVENTARIOOFICINA[],2,FALSE),"-")</f>
        <v>PRESOSTATO PEN 100 PSIG P70GA - 27 OPEN DROP IN PRESSURE</v>
      </c>
      <c r="E82" s="7" t="str">
        <f>IFERROR(VLOOKUP(ENTRADASOF[[#This Row],[CÓDIGO PRODUCTO]],INVENTARIOOFICINA[],3,FALSE),"-")</f>
        <v>LT041</v>
      </c>
      <c r="F82">
        <v>1</v>
      </c>
    </row>
    <row r="83" spans="1:6" x14ac:dyDescent="0.2">
      <c r="A83" s="4">
        <v>80</v>
      </c>
      <c r="B83" s="5">
        <v>45918</v>
      </c>
      <c r="C83" s="3" t="s">
        <v>708</v>
      </c>
      <c r="D83" s="7" t="str">
        <f>IFERROR(VLOOKUP(ENTRADASOF[[#This Row],[CÓDIGO PRODUCTO]],INVENTARIOOFICINA[],2,FALSE),"-")</f>
        <v>RESORTE DE DESCARGA MYCOM B</v>
      </c>
      <c r="E83" s="7" t="str">
        <f>IFERROR(VLOOKUP(ENTRADASOF[[#This Row],[CÓDIGO PRODUCTO]],INVENTARIOOFICINA[],3,FALSE),"-")</f>
        <v>LT009</v>
      </c>
      <c r="F83">
        <v>100</v>
      </c>
    </row>
    <row r="84" spans="1:6" ht="16" x14ac:dyDescent="0.2">
      <c r="A84" s="4">
        <v>81</v>
      </c>
      <c r="B84" s="5">
        <v>45918</v>
      </c>
      <c r="C84" s="2" t="s">
        <v>709</v>
      </c>
      <c r="D84" s="7" t="str">
        <f>IFERROR(VLOOKUP(ENTRADASOF[[#This Row],[CÓDIGO PRODUCTO]],INVENTARIOOFICINA[],2,FALSE),"-")</f>
        <v>RESORTE DE VÁLVULA VILTER</v>
      </c>
      <c r="E84" s="7" t="str">
        <f>IFERROR(VLOOKUP(ENTRADASOF[[#This Row],[CÓDIGO PRODUCTO]],INVENTARIOOFICINA[],3,FALSE),"-")</f>
        <v>LT009</v>
      </c>
      <c r="F84">
        <v>1096</v>
      </c>
    </row>
    <row r="85" spans="1:6" ht="16" x14ac:dyDescent="0.2">
      <c r="A85" s="4">
        <v>82</v>
      </c>
      <c r="B85" s="5">
        <v>45918</v>
      </c>
      <c r="C85" s="2" t="s">
        <v>710</v>
      </c>
      <c r="D85" s="7" t="str">
        <f>IFERROR(VLOOKUP(ENTRADASOF[[#This Row],[CÓDIGO PRODUCTO]],INVENTARIOOFICINA[],2,FALSE),"-")</f>
        <v>RING PISTÓN DE CAPACIDAD OLD STYLE</v>
      </c>
      <c r="E85" s="7" t="str">
        <f>IFERROR(VLOOKUP(ENTRADASOF[[#This Row],[CÓDIGO PRODUCTO]],INVENTARIOOFICINA[],3,FALSE),"-")</f>
        <v>LT008</v>
      </c>
      <c r="F85">
        <v>3</v>
      </c>
    </row>
    <row r="86" spans="1:6" x14ac:dyDescent="0.2">
      <c r="A86" s="4">
        <v>83</v>
      </c>
      <c r="B86" s="5">
        <v>45918</v>
      </c>
      <c r="C86" s="3" t="s">
        <v>711</v>
      </c>
      <c r="D86" s="7" t="str">
        <f>IFERROR(VLOOKUP(ENTRADASOF[[#This Row],[CÓDIGO PRODUCTO]],INVENTARIOOFICINA[],2,FALSE),"-")</f>
        <v>RING SET VILTER</v>
      </c>
      <c r="E86" s="7" t="str">
        <f>IFERROR(VLOOKUP(ENTRADASOF[[#This Row],[CÓDIGO PRODUCTO]],INVENTARIOOFICINA[],3,FALSE),"-")</f>
        <v>LT026</v>
      </c>
      <c r="F86">
        <v>5</v>
      </c>
    </row>
    <row r="87" spans="1:6" x14ac:dyDescent="0.2">
      <c r="A87" s="4">
        <v>84</v>
      </c>
      <c r="B87" s="5">
        <v>45918</v>
      </c>
      <c r="C87" s="3" t="s">
        <v>712</v>
      </c>
      <c r="D87" s="7" t="str">
        <f>IFERROR(VLOOKUP(ENTRADASOF[[#This Row],[CÓDIGO PRODUCTO]],INVENTARIOOFICINA[],2,FALSE),"-")</f>
        <v>RODAMIENTO G024 - 2Z</v>
      </c>
      <c r="E87" s="7" t="str">
        <f>IFERROR(VLOOKUP(ENTRADASOF[[#This Row],[CÓDIGO PRODUCTO]],INVENTARIOOFICINA[],3,FALSE),"-")</f>
        <v>LT013</v>
      </c>
      <c r="F87">
        <v>4</v>
      </c>
    </row>
    <row r="88" spans="1:6" x14ac:dyDescent="0.2">
      <c r="A88" s="4">
        <v>85</v>
      </c>
      <c r="B88" s="5">
        <v>45918</v>
      </c>
      <c r="C88" s="3" t="s">
        <v>713</v>
      </c>
      <c r="D88" s="7" t="str">
        <f>IFERROR(VLOOKUP(ENTRADASOF[[#This Row],[CÓDIGO PRODUCTO]],INVENTARIOOFICINA[],2,FALSE),"-")</f>
        <v>RODAMIENTO GG264 2RSH</v>
      </c>
      <c r="E88" s="7" t="str">
        <f>IFERROR(VLOOKUP(ENTRADASOF[[#This Row],[CÓDIGO PRODUCTO]],INVENTARIOOFICINA[],3,FALSE),"-")</f>
        <v>LT013</v>
      </c>
    </row>
    <row r="89" spans="1:6" x14ac:dyDescent="0.2">
      <c r="A89" s="4">
        <v>86</v>
      </c>
      <c r="B89" s="5">
        <v>45918</v>
      </c>
      <c r="C89" s="3" t="s">
        <v>714</v>
      </c>
      <c r="D89" s="7" t="str">
        <f>IFERROR(VLOOKUP(ENTRADASOF[[#This Row],[CÓDIGO PRODUCTO]],INVENTARIOOFICINA[],2,FALSE),"-")</f>
        <v>RODAMIENTO NU214</v>
      </c>
      <c r="E89" s="7" t="str">
        <f>IFERROR(VLOOKUP(ENTRADASOF[[#This Row],[CÓDIGO PRODUCTO]],INVENTARIOOFICINA[],3,FALSE),"-")</f>
        <v>LT013</v>
      </c>
      <c r="F89">
        <v>12</v>
      </c>
    </row>
    <row r="90" spans="1:6" x14ac:dyDescent="0.2">
      <c r="A90" s="4">
        <v>87</v>
      </c>
      <c r="B90" s="5">
        <v>45918</v>
      </c>
      <c r="C90" s="3" t="s">
        <v>715</v>
      </c>
      <c r="D90" s="7" t="str">
        <f>IFERROR(VLOOKUP(ENTRADASOF[[#This Row],[CÓDIGO PRODUCTO]],INVENTARIOOFICINA[],2,FALSE),"-")</f>
        <v>RODAMIENTO QJ313 MX</v>
      </c>
      <c r="E90" s="7" t="str">
        <f>IFERROR(VLOOKUP(ENTRADASOF[[#This Row],[CÓDIGO PRODUCTO]],INVENTARIOOFICINA[],3,FALSE),"-")</f>
        <v>LT013</v>
      </c>
      <c r="F90">
        <v>2</v>
      </c>
    </row>
    <row r="91" spans="1:6" x14ac:dyDescent="0.2">
      <c r="A91" s="4">
        <v>88</v>
      </c>
      <c r="B91" s="5">
        <v>45918</v>
      </c>
      <c r="C91" s="3" t="s">
        <v>716</v>
      </c>
      <c r="D91" s="7" t="str">
        <f>IFERROR(VLOOKUP(ENTRADASOF[[#This Row],[CÓDIGO PRODUCTO]],INVENTARIOOFICINA[],2,FALSE),"-")</f>
        <v>RODAMIENTO S1111</v>
      </c>
      <c r="E91" s="7" t="str">
        <f>IFERROR(VLOOKUP(ENTRADASOF[[#This Row],[CÓDIGO PRODUCTO]],INVENTARIOOFICINA[],3,FALSE),"-")</f>
        <v>LT013</v>
      </c>
      <c r="F91">
        <v>197</v>
      </c>
    </row>
    <row r="92" spans="1:6" x14ac:dyDescent="0.2">
      <c r="A92" s="4">
        <v>89</v>
      </c>
      <c r="B92" s="5">
        <v>45918</v>
      </c>
      <c r="C92" s="3" t="s">
        <v>717</v>
      </c>
      <c r="D92" s="7" t="str">
        <f>IFERROR(VLOOKUP(ENTRADASOF[[#This Row],[CÓDIGO PRODUCTO]],INVENTARIOOFICINA[],2,FALSE),"-")</f>
        <v>RODAMIENTO VILTER 440</v>
      </c>
      <c r="E92" s="7" t="str">
        <f>IFERROR(VLOOKUP(ENTRADASOF[[#This Row],[CÓDIGO PRODUCTO]],INVENTARIOOFICINA[],3,FALSE),"-")</f>
        <v>LT013</v>
      </c>
      <c r="F92">
        <v>5</v>
      </c>
    </row>
    <row r="93" spans="1:6" x14ac:dyDescent="0.2">
      <c r="A93" s="4">
        <v>90</v>
      </c>
      <c r="B93" s="5">
        <v>45918</v>
      </c>
      <c r="C93" s="3" t="s">
        <v>718</v>
      </c>
      <c r="D93" s="7" t="str">
        <f>IFERROR(VLOOKUP(ENTRADASOF[[#This Row],[CÓDIGO PRODUCTO]],INVENTARIOOFICINA[],2,FALSE),"-")</f>
        <v>RODAMIENTO VILTER 450 XL</v>
      </c>
      <c r="E93" s="7" t="str">
        <f>IFERROR(VLOOKUP(ENTRADASOF[[#This Row],[CÓDIGO PRODUCTO]],INVENTARIOOFICINA[],3,FALSE),"-")</f>
        <v>LT013</v>
      </c>
      <c r="F93">
        <v>3</v>
      </c>
    </row>
    <row r="94" spans="1:6" ht="16" x14ac:dyDescent="0.2">
      <c r="A94" s="4">
        <v>91</v>
      </c>
      <c r="B94" s="5">
        <v>45918</v>
      </c>
      <c r="C94" s="2" t="s">
        <v>719</v>
      </c>
      <c r="D94" s="7" t="str">
        <f>IFERROR(VLOOKUP(ENTRADASOF[[#This Row],[CÓDIGO PRODUCTO]],INVENTARIOOFICINA[],2,FALSE),"-")</f>
        <v>SELLO MECÁNICO BOMBADUR NH3</v>
      </c>
      <c r="E94" s="7" t="str">
        <f>IFERROR(VLOOKUP(ENTRADASOF[[#This Row],[CÓDIGO PRODUCTO]],INVENTARIOOFICINA[],3,FALSE),"-")</f>
        <v>LT020</v>
      </c>
      <c r="F94">
        <v>1</v>
      </c>
    </row>
    <row r="95" spans="1:6" ht="16" x14ac:dyDescent="0.2">
      <c r="A95" s="4">
        <v>92</v>
      </c>
      <c r="B95" s="5">
        <v>45918</v>
      </c>
      <c r="C95" s="2" t="s">
        <v>720</v>
      </c>
      <c r="D95" s="7" t="str">
        <f>IFERROR(VLOOKUP(ENTRADASOF[[#This Row],[CÓDIGO PRODUCTO]],INVENTARIOOFICINA[],2,FALSE),"-")</f>
        <v>SELLO MECÁNICO MYCOM I160 EMPACRECI</v>
      </c>
      <c r="E95" s="7" t="str">
        <f>IFERROR(VLOOKUP(ENTRADASOF[[#This Row],[CÓDIGO PRODUCTO]],INVENTARIOOFICINA[],3,FALSE),"-")</f>
        <v>LT020</v>
      </c>
      <c r="F95">
        <v>1</v>
      </c>
    </row>
    <row r="96" spans="1:6" ht="16" x14ac:dyDescent="0.2">
      <c r="A96" s="4">
        <v>93</v>
      </c>
      <c r="B96" s="5">
        <v>45918</v>
      </c>
      <c r="C96" s="2" t="s">
        <v>721</v>
      </c>
      <c r="D96" s="7" t="str">
        <f>IFERROR(VLOOKUP(ENTRADASOF[[#This Row],[CÓDIGO PRODUCTO]],INVENTARIOOFICINA[],2,FALSE),"-")</f>
        <v>SELLO MECÁNICO ORIGINAL VILTER 440</v>
      </c>
      <c r="E96" s="7" t="str">
        <f>IFERROR(VLOOKUP(ENTRADASOF[[#This Row],[CÓDIGO PRODUCTO]],INVENTARIOOFICINA[],3,FALSE),"-")</f>
        <v>LT020</v>
      </c>
      <c r="F96">
        <v>1</v>
      </c>
    </row>
    <row r="97" spans="1:6" x14ac:dyDescent="0.2">
      <c r="A97" s="4">
        <v>94</v>
      </c>
      <c r="B97" s="5">
        <v>45918</v>
      </c>
      <c r="C97" s="3" t="s">
        <v>722</v>
      </c>
      <c r="D97" s="7" t="str">
        <f>IFERROR(VLOOKUP(ENTRADASOF[[#This Row],[CÓDIGO PRODUCTO]],INVENTARIOOFICINA[],2,FALSE),"-")</f>
        <v>SELLO MECÁNICO VILTER 350 ES</v>
      </c>
      <c r="E97" s="7" t="str">
        <f>IFERROR(VLOOKUP(ENTRADASOF[[#This Row],[CÓDIGO PRODUCTO]],INVENTARIOOFICINA[],3,FALSE),"-")</f>
        <v>LT020</v>
      </c>
      <c r="F97">
        <v>1</v>
      </c>
    </row>
    <row r="98" spans="1:6" x14ac:dyDescent="0.2">
      <c r="A98" s="4">
        <v>95</v>
      </c>
      <c r="B98" s="5">
        <v>45918</v>
      </c>
      <c r="C98" s="3" t="s">
        <v>723</v>
      </c>
      <c r="D98" s="7" t="str">
        <f>IFERROR(VLOOKUP(ENTRADASOF[[#This Row],[CÓDIGO PRODUCTO]],INVENTARIOOFICINA[],2,FALSE),"-")</f>
        <v>SELLO MECÁNICO VILTER 440</v>
      </c>
      <c r="E98" s="7" t="str">
        <f>IFERROR(VLOOKUP(ENTRADASOF[[#This Row],[CÓDIGO PRODUCTO]],INVENTARIOOFICINA[],3,FALSE),"-")</f>
        <v>LT020</v>
      </c>
      <c r="F98">
        <v>4</v>
      </c>
    </row>
    <row r="99" spans="1:6" x14ac:dyDescent="0.2">
      <c r="A99" s="4">
        <v>96</v>
      </c>
      <c r="B99" s="5">
        <v>45918</v>
      </c>
      <c r="C99" s="3" t="s">
        <v>724</v>
      </c>
      <c r="D99" s="7" t="str">
        <f>IFERROR(VLOOKUP(ENTRADASOF[[#This Row],[CÓDIGO PRODUCTO]],INVENTARIOOFICINA[],2,FALSE),"-")</f>
        <v>SELLO MECÁNICO VILTER 45O XL</v>
      </c>
      <c r="E99" s="7" t="str">
        <f>IFERROR(VLOOKUP(ENTRADASOF[[#This Row],[CÓDIGO PRODUCTO]],INVENTARIOOFICINA[],3,FALSE),"-")</f>
        <v>LT020</v>
      </c>
      <c r="F99">
        <v>5</v>
      </c>
    </row>
    <row r="100" spans="1:6" ht="16" x14ac:dyDescent="0.2">
      <c r="A100" s="4">
        <v>97</v>
      </c>
      <c r="B100" s="5">
        <v>45918</v>
      </c>
      <c r="C100" s="2" t="s">
        <v>725</v>
      </c>
      <c r="D100" s="7" t="str">
        <f>IFERROR(VLOOKUP(ENTRADASOF[[#This Row],[CÓDIGO PRODUCTO]],INVENTARIOOFICINA[],2,FALSE),"-")</f>
        <v>SENSOR DE TEMPERATURA MAYAKAWA TR10-C</v>
      </c>
      <c r="E100" s="7" t="str">
        <f>IFERROR(VLOOKUP(ENTRADASOF[[#This Row],[CÓDIGO PRODUCTO]],INVENTARIOOFICINA[],3,FALSE),"-")</f>
        <v>LT037</v>
      </c>
      <c r="F100">
        <v>2</v>
      </c>
    </row>
    <row r="101" spans="1:6" ht="16" x14ac:dyDescent="0.2">
      <c r="A101" s="4">
        <v>98</v>
      </c>
      <c r="B101" s="5">
        <v>45918</v>
      </c>
      <c r="C101" s="2" t="s">
        <v>726</v>
      </c>
      <c r="D101" s="7" t="str">
        <f>IFERROR(VLOOKUP(ENTRADASOF[[#This Row],[CÓDIGO PRODUCTO]],INVENTARIOOFICINA[],2,FALSE),"-")</f>
        <v>SENSOR OPTICO DE NIVEL PARKER PNZS1625</v>
      </c>
      <c r="E101" s="7" t="str">
        <f>IFERROR(VLOOKUP(ENTRADASOF[[#This Row],[CÓDIGO PRODUCTO]],INVENTARIOOFICINA[],3,FALSE),"-")</f>
        <v>LT037</v>
      </c>
      <c r="F101">
        <v>1</v>
      </c>
    </row>
    <row r="102" spans="1:6" x14ac:dyDescent="0.2">
      <c r="A102" s="4">
        <v>99</v>
      </c>
      <c r="B102" s="5">
        <v>45918</v>
      </c>
      <c r="C102" s="3" t="s">
        <v>727</v>
      </c>
      <c r="D102" s="7" t="str">
        <f>IFERROR(VLOOKUP(ENTRADASOF[[#This Row],[CÓDIGO PRODUCTO]],INVENTARIOOFICINA[],2,FALSE),"-")</f>
        <v>SET DE EMPAQUE VILTER 8C</v>
      </c>
      <c r="E102" s="7" t="str">
        <f>IFERROR(VLOOKUP(ENTRADASOF[[#This Row],[CÓDIGO PRODUCTO]],INVENTARIOOFICINA[],3,FALSE),"-")</f>
        <v>LT001</v>
      </c>
      <c r="F102">
        <v>11</v>
      </c>
    </row>
    <row r="103" spans="1:6" x14ac:dyDescent="0.2">
      <c r="A103" s="4">
        <v>100</v>
      </c>
      <c r="B103" s="5">
        <v>45918</v>
      </c>
      <c r="C103" s="3" t="s">
        <v>728</v>
      </c>
      <c r="D103" s="7" t="str">
        <f>IFERROR(VLOOKUP(ENTRADASOF[[#This Row],[CÓDIGO PRODUCTO]],INVENTARIOOFICINA[],2,FALSE),"-")</f>
        <v>SET DE ÓRING MDE CILINDROS ORIGINAL VILTER</v>
      </c>
      <c r="E103" s="7" t="str">
        <f>IFERROR(VLOOKUP(ENTRADASOF[[#This Row],[CÓDIGO PRODUCTO]],INVENTARIOOFICINA[],3,FALSE),"-")</f>
        <v>LT001</v>
      </c>
      <c r="F103">
        <v>6</v>
      </c>
    </row>
    <row r="104" spans="1:6" ht="16" x14ac:dyDescent="0.2">
      <c r="A104" s="4">
        <v>101</v>
      </c>
      <c r="B104" s="5">
        <v>45918</v>
      </c>
      <c r="C104" s="2" t="s">
        <v>729</v>
      </c>
      <c r="D104" s="7" t="str">
        <f>IFERROR(VLOOKUP(ENTRADASOF[[#This Row],[CÓDIGO PRODUCTO]],INVENTARIOOFICINA[],2,FALSE),"-")</f>
        <v>SOLENOID TUBE PLUNGER HIT HANSEN</v>
      </c>
      <c r="E104" s="7" t="str">
        <f>IFERROR(VLOOKUP(ENTRADASOF[[#This Row],[CÓDIGO PRODUCTO]],INVENTARIOOFICINA[],3,FALSE),"-")</f>
        <v>LT012</v>
      </c>
      <c r="F104">
        <v>2</v>
      </c>
    </row>
    <row r="105" spans="1:6" ht="16" x14ac:dyDescent="0.2">
      <c r="A105" s="4">
        <v>102</v>
      </c>
      <c r="B105" s="5">
        <v>45918</v>
      </c>
      <c r="C105" s="2" t="s">
        <v>730</v>
      </c>
      <c r="D105" s="7" t="str">
        <f>IFERROR(VLOOKUP(ENTRADASOF[[#This Row],[CÓDIGO PRODUCTO]],INVENTARIOOFICINA[],2,FALSE),"-")</f>
        <v>SOLENOIDE DELTA POWER 120 VOLTS</v>
      </c>
      <c r="E105" s="7" t="str">
        <f>IFERROR(VLOOKUP(ENTRADASOF[[#This Row],[CÓDIGO PRODUCTO]],INVENTARIOOFICINA[],3,FALSE),"-")</f>
        <v>LT012</v>
      </c>
      <c r="F105">
        <v>2</v>
      </c>
    </row>
    <row r="106" spans="1:6" ht="16" x14ac:dyDescent="0.2">
      <c r="A106" s="4">
        <v>103</v>
      </c>
      <c r="B106" s="5">
        <v>45918</v>
      </c>
      <c r="C106" s="2" t="s">
        <v>731</v>
      </c>
      <c r="D106" s="7" t="str">
        <f>IFERROR(VLOOKUP(ENTRADASOF[[#This Row],[CÓDIGO PRODUCTO]],INVENTARIOOFICINA[],2,FALSE),"-")</f>
        <v>SOLENOIDE DELTA POWER 220 VOLTS</v>
      </c>
      <c r="E106" s="7" t="str">
        <f>IFERROR(VLOOKUP(ENTRADASOF[[#This Row],[CÓDIGO PRODUCTO]],INVENTARIOOFICINA[],3,FALSE),"-")</f>
        <v>LT012</v>
      </c>
      <c r="F106">
        <v>2</v>
      </c>
    </row>
    <row r="107" spans="1:6" ht="16" x14ac:dyDescent="0.2">
      <c r="A107" s="4">
        <v>104</v>
      </c>
      <c r="B107" s="5">
        <v>45918</v>
      </c>
      <c r="C107" s="2" t="s">
        <v>732</v>
      </c>
      <c r="D107" s="7" t="str">
        <f>IFERROR(VLOOKUP(ENTRADASOF[[#This Row],[CÓDIGO PRODUCTO]],INVENTARIOOFICINA[],2,FALSE),"-")</f>
        <v>SOLENOIDE DELTA POWER PEQUEÑA 120 VOLTS</v>
      </c>
      <c r="E107" s="7" t="str">
        <f>IFERROR(VLOOKUP(ENTRADASOF[[#This Row],[CÓDIGO PRODUCTO]],INVENTARIOOFICINA[],3,FALSE),"-")</f>
        <v>LT012</v>
      </c>
      <c r="F107">
        <v>2</v>
      </c>
    </row>
    <row r="108" spans="1:6" ht="16" x14ac:dyDescent="0.2">
      <c r="A108" s="4">
        <v>105</v>
      </c>
      <c r="B108" s="5">
        <v>45918</v>
      </c>
      <c r="C108" s="2" t="s">
        <v>733</v>
      </c>
      <c r="D108" s="7" t="str">
        <f>IFERROR(VLOOKUP(ENTRADASOF[[#This Row],[CÓDIGO PRODUCTO]],INVENTARIOOFICINA[],2,FALSE),"-")</f>
        <v>SOLENOIDE HANSEN 120 VOLTS</v>
      </c>
      <c r="E108" s="7" t="str">
        <f>IFERROR(VLOOKUP(ENTRADASOF[[#This Row],[CÓDIGO PRODUCTO]],INVENTARIOOFICINA[],3,FALSE),"-")</f>
        <v>LT012</v>
      </c>
      <c r="F108">
        <v>4</v>
      </c>
    </row>
    <row r="109" spans="1:6" x14ac:dyDescent="0.2">
      <c r="A109" s="4">
        <v>106</v>
      </c>
      <c r="B109" s="5">
        <v>45918</v>
      </c>
      <c r="C109" s="3" t="s">
        <v>734</v>
      </c>
      <c r="D109" s="7" t="str">
        <f>IFERROR(VLOOKUP(ENTRADASOF[[#This Row],[CÓDIGO PRODUCTO]],INVENTARIOOFICINA[],2,FALSE),"-")</f>
        <v xml:space="preserve">SOLENOIDE MAGNÉTICA </v>
      </c>
      <c r="E109" s="7" t="str">
        <f>IFERROR(VLOOKUP(ENTRADASOF[[#This Row],[CÓDIGO PRODUCTO]],INVENTARIOOFICINA[],3,FALSE),"-")</f>
        <v>LT012</v>
      </c>
      <c r="F109">
        <v>2</v>
      </c>
    </row>
    <row r="110" spans="1:6" ht="16" x14ac:dyDescent="0.2">
      <c r="A110" s="4">
        <v>107</v>
      </c>
      <c r="B110" s="5">
        <v>45918</v>
      </c>
      <c r="C110" s="2" t="s">
        <v>735</v>
      </c>
      <c r="D110" s="7" t="str">
        <f>IFERROR(VLOOKUP(ENTRADASOF[[#This Row],[CÓDIGO PRODUCTO]],INVENTARIOOFICINA[],2,FALSE),"-")</f>
        <v>SOLENOIDE MAYAKAWA COMP. MYCOM B 220 VOLTS</v>
      </c>
      <c r="E110" s="7" t="str">
        <f>IFERROR(VLOOKUP(ENTRADASOF[[#This Row],[CÓDIGO PRODUCTO]],INVENTARIOOFICINA[],3,FALSE),"-")</f>
        <v>LT012</v>
      </c>
      <c r="F110">
        <v>1</v>
      </c>
    </row>
    <row r="111" spans="1:6" ht="16" x14ac:dyDescent="0.2">
      <c r="A111" s="4">
        <v>108</v>
      </c>
      <c r="B111" s="5">
        <v>45918</v>
      </c>
      <c r="C111" s="2" t="s">
        <v>736</v>
      </c>
      <c r="D111" s="7" t="str">
        <f>IFERROR(VLOOKUP(ENTRADASOF[[#This Row],[CÓDIGO PRODUCTO]],INVENTARIOOFICINA[],2,FALSE),"-")</f>
        <v>SOLENOIDE PARKER 120 VOLTS</v>
      </c>
      <c r="E111" s="7" t="str">
        <f>IFERROR(VLOOKUP(ENTRADASOF[[#This Row],[CÓDIGO PRODUCTO]],INVENTARIOOFICINA[],3,FALSE),"-")</f>
        <v>LT012</v>
      </c>
      <c r="F111">
        <v>1</v>
      </c>
    </row>
    <row r="112" spans="1:6" ht="16" x14ac:dyDescent="0.2">
      <c r="A112" s="4">
        <v>109</v>
      </c>
      <c r="B112" s="5">
        <v>45918</v>
      </c>
      <c r="C112" s="2" t="s">
        <v>737</v>
      </c>
      <c r="D112" s="7" t="str">
        <f>IFERROR(VLOOKUP(ENTRADASOF[[#This Row],[CÓDIGO PRODUCTO]],INVENTARIOOFICINA[],2,FALSE),"-")</f>
        <v>STEADY MOUNT ORIGINAL VILTER</v>
      </c>
      <c r="E112" s="7" t="str">
        <f>IFERROR(VLOOKUP(ENTRADASOF[[#This Row],[CÓDIGO PRODUCTO]],INVENTARIOOFICINA[],3,FALSE),"-")</f>
        <v>LT043</v>
      </c>
      <c r="F112">
        <v>3</v>
      </c>
    </row>
    <row r="113" spans="1:6" x14ac:dyDescent="0.2">
      <c r="A113" s="4">
        <v>110</v>
      </c>
      <c r="B113" s="5">
        <v>45918</v>
      </c>
      <c r="C113" s="3" t="s">
        <v>738</v>
      </c>
      <c r="D113" s="7" t="str">
        <f>IFERROR(VLOOKUP(ENTRADASOF[[#This Row],[CÓDIGO PRODUCTO]],INVENTARIOOFICINA[],2,FALSE),"-")</f>
        <v>TERMINAL PLATE BITZER TORNILLO 125HP</v>
      </c>
      <c r="E113" s="7" t="str">
        <f>IFERROR(VLOOKUP(ENTRADASOF[[#This Row],[CÓDIGO PRODUCTO]],INVENTARIOOFICINA[],3,FALSE),"-")</f>
        <v>LT018</v>
      </c>
      <c r="F113">
        <v>2</v>
      </c>
    </row>
    <row r="114" spans="1:6" x14ac:dyDescent="0.2">
      <c r="A114" s="4">
        <v>111</v>
      </c>
      <c r="B114" s="5">
        <v>45918</v>
      </c>
      <c r="C114" s="3" t="s">
        <v>739</v>
      </c>
      <c r="D114" s="7" t="str">
        <f>IFERROR(VLOOKUP(ENTRADASOF[[#This Row],[CÓDIGO PRODUCTO]],INVENTARIOOFICINA[],2,FALSE),"-")</f>
        <v>TERMINAL PLATE BITZER TORNILLO 75HP</v>
      </c>
      <c r="E114" s="7" t="str">
        <f>IFERROR(VLOOKUP(ENTRADASOF[[#This Row],[CÓDIGO PRODUCTO]],INVENTARIOOFICINA[],3,FALSE),"-")</f>
        <v>LT018</v>
      </c>
      <c r="F114">
        <v>2</v>
      </c>
    </row>
    <row r="115" spans="1:6" ht="16" x14ac:dyDescent="0.2">
      <c r="A115" s="4">
        <v>112</v>
      </c>
      <c r="B115" s="5">
        <v>45918</v>
      </c>
      <c r="C115" s="2" t="s">
        <v>740</v>
      </c>
      <c r="D115" s="7" t="str">
        <f>IFERROR(VLOOKUP(ENTRADASOF[[#This Row],[CÓDIGO PRODUCTO]],INVENTARIOOFICINA[],2,FALSE),"-")</f>
        <v>TERMOSTATO 1MIT TIPO TCZ 1750</v>
      </c>
      <c r="E115" s="7" t="str">
        <f>IFERROR(VLOOKUP(ENTRADASOF[[#This Row],[CÓDIGO PRODUCTO]],INVENTARIOOFICINA[],3,FALSE),"-")</f>
        <v>LT035</v>
      </c>
      <c r="F115">
        <v>1</v>
      </c>
    </row>
    <row r="116" spans="1:6" ht="16" x14ac:dyDescent="0.2">
      <c r="A116" s="4">
        <v>113</v>
      </c>
      <c r="B116" s="5">
        <v>45918</v>
      </c>
      <c r="C116" s="2" t="s">
        <v>741</v>
      </c>
      <c r="D116" s="7" t="str">
        <f>IFERROR(VLOOKUP(ENTRADASOF[[#This Row],[CÓDIGO PRODUCTO]],INVENTARIOOFICINA[],2,FALSE),"-")</f>
        <v>TRANSDUCTOR DE PRESIÓN DANFOSS AKS33</v>
      </c>
      <c r="E116" s="7" t="str">
        <f>IFERROR(VLOOKUP(ENTRADASOF[[#This Row],[CÓDIGO PRODUCTO]],INVENTARIOOFICINA[],3,FALSE),"-")</f>
        <v>LT045</v>
      </c>
      <c r="F116">
        <v>1</v>
      </c>
    </row>
    <row r="117" spans="1:6" ht="16" x14ac:dyDescent="0.2">
      <c r="A117" s="4">
        <v>114</v>
      </c>
      <c r="B117" s="5">
        <v>45918</v>
      </c>
      <c r="C117" s="2" t="s">
        <v>742</v>
      </c>
      <c r="D117" s="7" t="str">
        <f>IFERROR(VLOOKUP(ENTRADASOF[[#This Row],[CÓDIGO PRODUCTO]],INVENTARIOOFICINA[],2,FALSE),"-")</f>
        <v>TRANSDUCTOR DE PRESIÓN DANFOSSS AKS33 - 1 - 12 BAR</v>
      </c>
      <c r="E117" s="7" t="str">
        <f>IFERROR(VLOOKUP(ENTRADASOF[[#This Row],[CÓDIGO PRODUCTO]],INVENTARIOOFICINA[],3,FALSE),"-")</f>
        <v>LT045</v>
      </c>
      <c r="F117">
        <v>1</v>
      </c>
    </row>
    <row r="118" spans="1:6" ht="16" x14ac:dyDescent="0.2">
      <c r="A118" s="4">
        <v>115</v>
      </c>
      <c r="B118" s="5">
        <v>45918</v>
      </c>
      <c r="C118" s="2" t="s">
        <v>743</v>
      </c>
      <c r="D118" s="7" t="str">
        <f>IFERROR(VLOOKUP(ENTRADASOF[[#This Row],[CÓDIGO PRODUCTO]],INVENTARIOOFICINA[],2,FALSE),"-")</f>
        <v>TRANSDUCTOR DE PRESIÓN JOHNSON C 0-600 PSIA</v>
      </c>
      <c r="E118" s="7" t="str">
        <f>IFERROR(VLOOKUP(ENTRADASOF[[#This Row],[CÓDIGO PRODUCTO]],INVENTARIOOFICINA[],3,FALSE),"-")</f>
        <v>LT045</v>
      </c>
      <c r="F118">
        <v>1</v>
      </c>
    </row>
    <row r="119" spans="1:6" ht="16" x14ac:dyDescent="0.2">
      <c r="A119" s="4">
        <v>116</v>
      </c>
      <c r="B119" s="5">
        <v>45918</v>
      </c>
      <c r="C119" s="2" t="s">
        <v>744</v>
      </c>
      <c r="D119" s="7" t="str">
        <f>IFERROR(VLOOKUP(ENTRADASOF[[#This Row],[CÓDIGO PRODUCTO]],INVENTARIOOFICINA[],2,FALSE),"-")</f>
        <v>TRANSDUCTOR DE PRESIÓN JOHNSON C 1-200 PSIA</v>
      </c>
      <c r="E119" s="7" t="str">
        <f>IFERROR(VLOOKUP(ENTRADASOF[[#This Row],[CÓDIGO PRODUCTO]],INVENTARIOOFICINA[],3,FALSE),"-")</f>
        <v>LT045</v>
      </c>
      <c r="F119">
        <v>3</v>
      </c>
    </row>
    <row r="120" spans="1:6" ht="16" x14ac:dyDescent="0.2">
      <c r="A120" s="4">
        <v>117</v>
      </c>
      <c r="B120" s="5">
        <v>45918</v>
      </c>
      <c r="C120" s="2" t="s">
        <v>745</v>
      </c>
      <c r="D120" s="7" t="str">
        <f>IFERROR(VLOOKUP(ENTRADASOF[[#This Row],[CÓDIGO PRODUCTO]],INVENTARIOOFICINA[],2,FALSE),"-")</f>
        <v>TRANSDUCTOR DE PRESIÓN YORK AKS4050 0-200 PSIG</v>
      </c>
      <c r="E120" s="7" t="str">
        <f>IFERROR(VLOOKUP(ENTRADASOF[[#This Row],[CÓDIGO PRODUCTO]],INVENTARIOOFICINA[],3,FALSE),"-")</f>
        <v>LT045</v>
      </c>
      <c r="F120">
        <v>1</v>
      </c>
    </row>
    <row r="121" spans="1:6" x14ac:dyDescent="0.2">
      <c r="A121" s="4">
        <v>118</v>
      </c>
      <c r="B121" s="5">
        <v>45918</v>
      </c>
      <c r="C121" s="3" t="s">
        <v>746</v>
      </c>
      <c r="D121" s="7" t="str">
        <f>IFERROR(VLOOKUP(ENTRADASOF[[#This Row],[CÓDIGO PRODUCTO]],INVENTARIOOFICINA[],2,FALSE),"-")</f>
        <v>VÁLVULA ALIVIO INTERNO 250 PSI VILTER</v>
      </c>
      <c r="E121" s="7" t="str">
        <f>IFERROR(VLOOKUP(ENTRADASOF[[#This Row],[CÓDIGO PRODUCTO]],INVENTARIOOFICINA[],3,FALSE),"-")</f>
        <v>LT002</v>
      </c>
      <c r="F121">
        <v>41</v>
      </c>
    </row>
    <row r="122" spans="1:6" ht="16" x14ac:dyDescent="0.2">
      <c r="A122" s="4">
        <v>119</v>
      </c>
      <c r="B122" s="5">
        <v>45918</v>
      </c>
      <c r="C122" s="2" t="s">
        <v>747</v>
      </c>
      <c r="D122" s="7" t="str">
        <f>IFERROR(VLOOKUP(ENTRADASOF[[#This Row],[CÓDIGO PRODUCTO]],INVENTARIOOFICINA[],2,FALSE),"-")</f>
        <v>VÁLVULA ANGULAR ROSCABLE 1" HANSEN</v>
      </c>
      <c r="E122" s="7" t="str">
        <f>IFERROR(VLOOKUP(ENTRADASOF[[#This Row],[CÓDIGO PRODUCTO]],INVENTARIOOFICINA[],3,FALSE),"-")</f>
        <v>LT002</v>
      </c>
      <c r="F122">
        <v>3</v>
      </c>
    </row>
    <row r="123" spans="1:6" ht="16" x14ac:dyDescent="0.2">
      <c r="A123" s="4">
        <v>120</v>
      </c>
      <c r="B123" s="5">
        <v>45918</v>
      </c>
      <c r="C123" s="2" t="s">
        <v>748</v>
      </c>
      <c r="D123" s="7" t="str">
        <f>IFERROR(VLOOKUP(ENTRADASOF[[#This Row],[CÓDIGO PRODUCTO]],INVENTARIOOFICINA[],2,FALSE),"-")</f>
        <v>VÁLVULA ANGULAR ROSCABLE 1¼" HANSEN</v>
      </c>
      <c r="E123" s="7" t="str">
        <f>IFERROR(VLOOKUP(ENTRADASOF[[#This Row],[CÓDIGO PRODUCTO]],INVENTARIOOFICINA[],3,FALSE),"-")</f>
        <v>LT002</v>
      </c>
      <c r="F123">
        <v>2</v>
      </c>
    </row>
    <row r="124" spans="1:6" ht="16" x14ac:dyDescent="0.2">
      <c r="A124" s="4">
        <v>121</v>
      </c>
      <c r="B124" s="5">
        <v>45918</v>
      </c>
      <c r="C124" s="2" t="s">
        <v>749</v>
      </c>
      <c r="D124" s="7" t="str">
        <f>IFERROR(VLOOKUP(ENTRADASOF[[#This Row],[CÓDIGO PRODUCTO]],INVENTARIOOFICINA[],2,FALSE),"-")</f>
        <v>VÁLVULA ANGULAR SOLDABLE PARKER 1"</v>
      </c>
      <c r="E124" s="7" t="str">
        <f>IFERROR(VLOOKUP(ENTRADASOF[[#This Row],[CÓDIGO PRODUCTO]],INVENTARIOOFICINA[],3,FALSE),"-")</f>
        <v>LT002</v>
      </c>
      <c r="F124">
        <v>1</v>
      </c>
    </row>
    <row r="125" spans="1:6" x14ac:dyDescent="0.2">
      <c r="A125" s="4">
        <v>122</v>
      </c>
      <c r="B125" s="5">
        <v>45918</v>
      </c>
      <c r="C125" s="3" t="s">
        <v>750</v>
      </c>
      <c r="D125" s="7" t="str">
        <f>IFERROR(VLOOKUP(ENTRADASOF[[#This Row],[CÓDIGO PRODUCTO]],INVENTARIOOFICINA[],2,FALSE),"-")</f>
        <v>VÁLVULA CHECK BITZER TORNILLO 75HP</v>
      </c>
      <c r="E125" s="7" t="str">
        <f>IFERROR(VLOOKUP(ENTRADASOF[[#This Row],[CÓDIGO PRODUCTO]],INVENTARIOOFICINA[],3,FALSE),"-")</f>
        <v>LT002</v>
      </c>
      <c r="F125">
        <v>2</v>
      </c>
    </row>
    <row r="126" spans="1:6" ht="16" x14ac:dyDescent="0.2">
      <c r="A126" s="4">
        <v>123</v>
      </c>
      <c r="B126" s="5">
        <v>45918</v>
      </c>
      <c r="C126" s="2" t="s">
        <v>751</v>
      </c>
      <c r="D126" s="7" t="str">
        <f>IFERROR(VLOOKUP(ENTRADASOF[[#This Row],[CÓDIGO PRODUCTO]],INVENTARIOOFICINA[],2,FALSE),"-")</f>
        <v xml:space="preserve">VÁLVULA CHECK NRUA 25/32 </v>
      </c>
      <c r="E126" s="7" t="str">
        <f>IFERROR(VLOOKUP(ENTRADASOF[[#This Row],[CÓDIGO PRODUCTO]],INVENTARIOOFICINA[],3,FALSE),"-")</f>
        <v>LT002</v>
      </c>
      <c r="F126">
        <v>1</v>
      </c>
    </row>
    <row r="127" spans="1:6" x14ac:dyDescent="0.2">
      <c r="A127" s="4">
        <v>124</v>
      </c>
      <c r="B127" s="5">
        <v>45918</v>
      </c>
      <c r="C127" s="3" t="s">
        <v>752</v>
      </c>
      <c r="D127" s="7" t="str">
        <f>IFERROR(VLOOKUP(ENTRADASOF[[#This Row],[CÓDIGO PRODUCTO]],INVENTARIOOFICINA[],2,FALSE),"-")</f>
        <v>VÁLVULA DANFOSS ANGULAR SUA 15 ½"</v>
      </c>
      <c r="E127" s="7" t="str">
        <f>IFERROR(VLOOKUP(ENTRADASOF[[#This Row],[CÓDIGO PRODUCTO]],INVENTARIOOFICINA[],3,FALSE),"-")</f>
        <v>LT002</v>
      </c>
      <c r="F127">
        <v>1</v>
      </c>
    </row>
    <row r="128" spans="1:6" x14ac:dyDescent="0.2">
      <c r="A128" s="4">
        <v>125</v>
      </c>
      <c r="B128" s="5">
        <v>45918</v>
      </c>
      <c r="C128" s="3" t="s">
        <v>753</v>
      </c>
      <c r="D128" s="7" t="str">
        <f>IFERROR(VLOOKUP(ENTRADASOF[[#This Row],[CÓDIGO PRODUCTO]],INVENTARIOOFICINA[],2,FALSE),"-")</f>
        <v>VÁLVULA DANFOSS ANGULAR SUA 2S 1"</v>
      </c>
      <c r="E128" s="7" t="str">
        <f>IFERROR(VLOOKUP(ENTRADASOF[[#This Row],[CÓDIGO PRODUCTO]],INVENTARIOOFICINA[],3,FALSE),"-")</f>
        <v>LT002</v>
      </c>
      <c r="F128">
        <v>1</v>
      </c>
    </row>
    <row r="129" spans="1:6" x14ac:dyDescent="0.2">
      <c r="A129" s="4">
        <v>126</v>
      </c>
      <c r="B129" s="5">
        <v>45918</v>
      </c>
      <c r="C129" s="3" t="s">
        <v>754</v>
      </c>
      <c r="D129" s="7" t="str">
        <f>IFERROR(VLOOKUP(ENTRADASOF[[#This Row],[CÓDIGO PRODUCTO]],INVENTARIOOFICINA[],2,FALSE),"-")</f>
        <v>VÁLVULA DANFOSS HOT GAS T6HE / 06TN8311</v>
      </c>
      <c r="E129" s="7" t="str">
        <f>IFERROR(VLOOKUP(ENTRADASOF[[#This Row],[CÓDIGO PRODUCTO]],INVENTARIOOFICINA[],3,FALSE),"-")</f>
        <v>LT002</v>
      </c>
      <c r="F129">
        <v>1</v>
      </c>
    </row>
    <row r="130" spans="1:6" ht="16" x14ac:dyDescent="0.2">
      <c r="A130" s="4">
        <v>127</v>
      </c>
      <c r="B130" s="5">
        <v>45918</v>
      </c>
      <c r="C130" s="2" t="s">
        <v>755</v>
      </c>
      <c r="D130" s="7" t="str">
        <f>IFERROR(VLOOKUP(ENTRADASOF[[#This Row],[CÓDIGO PRODUCTO]],INVENTARIOOFICINA[],2,FALSE),"-")</f>
        <v>VÁLVULA DANFOSS OFV ¾"</v>
      </c>
      <c r="E130" s="7" t="str">
        <f>IFERROR(VLOOKUP(ENTRADASOF[[#This Row],[CÓDIGO PRODUCTO]],INVENTARIOOFICINA[],3,FALSE),"-")</f>
        <v>LT002</v>
      </c>
      <c r="F130">
        <v>1</v>
      </c>
    </row>
    <row r="131" spans="1:6" x14ac:dyDescent="0.2">
      <c r="A131" s="4">
        <v>128</v>
      </c>
      <c r="B131" s="5">
        <v>45918</v>
      </c>
      <c r="C131" s="3" t="s">
        <v>756</v>
      </c>
      <c r="D131" s="7" t="str">
        <f>IFERROR(VLOOKUP(ENTRADASOF[[#This Row],[CÓDIGO PRODUCTO]],INVENTARIOOFICINA[],2,FALSE),"-")</f>
        <v>VÁLVULA DANFOSS RECTA STE 15 ½</v>
      </c>
      <c r="E131" s="7" t="str">
        <f>IFERROR(VLOOKUP(ENTRADASOF[[#This Row],[CÓDIGO PRODUCTO]],INVENTARIOOFICINA[],3,FALSE),"-")</f>
        <v>LT002</v>
      </c>
      <c r="F131">
        <v>5</v>
      </c>
    </row>
    <row r="132" spans="1:6" ht="16" x14ac:dyDescent="0.2">
      <c r="A132" s="4">
        <v>129</v>
      </c>
      <c r="B132" s="5">
        <v>45918</v>
      </c>
      <c r="C132" s="2" t="s">
        <v>757</v>
      </c>
      <c r="D132" s="7" t="str">
        <f>IFERROR(VLOOKUP(ENTRADASOF[[#This Row],[CÓDIGO PRODUCTO]],INVENTARIOOFICINA[],2,FALSE),"-")</f>
        <v xml:space="preserve">VÁLVULA DE 3 VÍAS ½ x ½ HANSEN </v>
      </c>
      <c r="E132" s="7" t="str">
        <f>IFERROR(VLOOKUP(ENTRADASOF[[#This Row],[CÓDIGO PRODUCTO]],INVENTARIOOFICINA[],3,FALSE),"-")</f>
        <v>LT002</v>
      </c>
      <c r="F132">
        <v>1</v>
      </c>
    </row>
    <row r="133" spans="1:6" ht="16" x14ac:dyDescent="0.2">
      <c r="A133" s="4">
        <v>130</v>
      </c>
      <c r="B133" s="5">
        <v>45918</v>
      </c>
      <c r="C133" s="2" t="s">
        <v>758</v>
      </c>
      <c r="D133" s="7" t="str">
        <f>IFERROR(VLOOKUP(ENTRADASOF[[#This Row],[CÓDIGO PRODUCTO]],INVENTARIOOFICINA[],2,FALSE),"-")</f>
        <v xml:space="preserve">VÁLVULA DE 3 VÍAS 3 x 4 x ¾" HANSEN </v>
      </c>
      <c r="E133" s="7" t="str">
        <f>IFERROR(VLOOKUP(ENTRADASOF[[#This Row],[CÓDIGO PRODUCTO]],INVENTARIOOFICINA[],3,FALSE),"-")</f>
        <v>LT002</v>
      </c>
      <c r="F133">
        <v>1</v>
      </c>
    </row>
    <row r="134" spans="1:6" x14ac:dyDescent="0.2">
      <c r="A134" s="4">
        <v>131</v>
      </c>
      <c r="B134" s="5">
        <v>45918</v>
      </c>
      <c r="C134" s="3" t="s">
        <v>759</v>
      </c>
      <c r="D134" s="7" t="str">
        <f>IFERROR(VLOOKUP(ENTRADASOF[[#This Row],[CÓDIGO PRODUCTO]],INVENTARIOOFICINA[],2,FALSE),"-")</f>
        <v>VÁLVULA DE 30 TIPO Y CASTLE 1½</v>
      </c>
      <c r="E134" s="7" t="str">
        <f>IFERROR(VLOOKUP(ENTRADASOF[[#This Row],[CÓDIGO PRODUCTO]],INVENTARIOOFICINA[],3,FALSE),"-")</f>
        <v>LT002</v>
      </c>
      <c r="F134">
        <v>10</v>
      </c>
    </row>
    <row r="135" spans="1:6" x14ac:dyDescent="0.2">
      <c r="A135" s="4">
        <v>132</v>
      </c>
      <c r="B135" s="5">
        <v>45918</v>
      </c>
      <c r="C135" s="3" t="s">
        <v>760</v>
      </c>
      <c r="D135" s="7" t="str">
        <f>IFERROR(VLOOKUP(ENTRADASOF[[#This Row],[CÓDIGO PRODUCTO]],INVENTARIOOFICINA[],2,FALSE),"-")</f>
        <v>VÁLVULA DE ALIVIO INTERNO VILTER 300 PSIG</v>
      </c>
      <c r="E135" s="7" t="str">
        <f>IFERROR(VLOOKUP(ENTRADASOF[[#This Row],[CÓDIGO PRODUCTO]],INVENTARIOOFICINA[],3,FALSE),"-")</f>
        <v>LT002</v>
      </c>
      <c r="F135">
        <v>3</v>
      </c>
    </row>
    <row r="136" spans="1:6" x14ac:dyDescent="0.2">
      <c r="A136" s="4">
        <v>133</v>
      </c>
      <c r="B136" s="5">
        <v>45918</v>
      </c>
      <c r="C136" s="3" t="s">
        <v>761</v>
      </c>
      <c r="D136" s="7" t="str">
        <f>IFERROR(VLOOKUP(ENTRADASOF[[#This Row],[CÓDIGO PRODUCTO]],INVENTARIOOFICINA[],2,FALSE),"-")</f>
        <v xml:space="preserve">VÁLVULA DE ALIVIO INTERNO VILTER ORIGINAL </v>
      </c>
      <c r="E136" s="7" t="str">
        <f>IFERROR(VLOOKUP(ENTRADASOF[[#This Row],[CÓDIGO PRODUCTO]],INVENTARIOOFICINA[],3,FALSE),"-")</f>
        <v>LT002</v>
      </c>
      <c r="F136">
        <v>3</v>
      </c>
    </row>
    <row r="137" spans="1:6" x14ac:dyDescent="0.2">
      <c r="A137" s="4">
        <v>134</v>
      </c>
      <c r="B137" s="5">
        <v>45918</v>
      </c>
      <c r="C137" s="3" t="s">
        <v>762</v>
      </c>
      <c r="D137" s="7" t="str">
        <f>IFERROR(VLOOKUP(ENTRADASOF[[#This Row],[CÓDIGO PRODUCTO]],INVENTARIOOFICINA[],2,FALSE),"-")</f>
        <v>VÁLVULA DE DESCARGA VILTER 450 XL</v>
      </c>
      <c r="E137" s="7" t="str">
        <f>IFERROR(VLOOKUP(ENTRADASOF[[#This Row],[CÓDIGO PRODUCTO]],INVENTARIOOFICINA[],3,FALSE),"-")</f>
        <v>LT002</v>
      </c>
      <c r="F137">
        <v>31</v>
      </c>
    </row>
    <row r="138" spans="1:6" x14ac:dyDescent="0.2">
      <c r="A138" s="4">
        <v>135</v>
      </c>
      <c r="B138" s="5">
        <v>45918</v>
      </c>
      <c r="C138" s="3" t="s">
        <v>763</v>
      </c>
      <c r="D138" s="7" t="str">
        <f>IFERROR(VLOOKUP(ENTRADASOF[[#This Row],[CÓDIGO PRODUCTO]],INVENTARIOOFICINA[],2,FALSE),"-")</f>
        <v>VÁLVULA DE PASO CASTLE ANGULAR 2"</v>
      </c>
      <c r="E138" s="7" t="str">
        <f>IFERROR(VLOOKUP(ENTRADASOF[[#This Row],[CÓDIGO PRODUCTO]],INVENTARIOOFICINA[],3,FALSE),"-")</f>
        <v>LT002</v>
      </c>
      <c r="F138">
        <v>1</v>
      </c>
    </row>
    <row r="139" spans="1:6" x14ac:dyDescent="0.2">
      <c r="A139" s="4">
        <v>136</v>
      </c>
      <c r="B139" s="5">
        <v>45918</v>
      </c>
      <c r="C139" s="3" t="s">
        <v>764</v>
      </c>
      <c r="D139" s="7" t="str">
        <f>IFERROR(VLOOKUP(ENTRADASOF[[#This Row],[CÓDIGO PRODUCTO]],INVENTARIOOFICINA[],2,FALSE),"-")</f>
        <v>VÁLVULA DE PASO CASTLE ANGULAR 3"</v>
      </c>
      <c r="E139" s="7" t="str">
        <f>IFERROR(VLOOKUP(ENTRADASOF[[#This Row],[CÓDIGO PRODUCTO]],INVENTARIOOFICINA[],3,FALSE),"-")</f>
        <v>LT002</v>
      </c>
      <c r="F139">
        <v>1</v>
      </c>
    </row>
    <row r="140" spans="1:6" x14ac:dyDescent="0.2">
      <c r="A140" s="4">
        <v>137</v>
      </c>
      <c r="B140" s="5">
        <v>45918</v>
      </c>
      <c r="C140" s="3" t="s">
        <v>765</v>
      </c>
      <c r="D140" s="7" t="str">
        <f>IFERROR(VLOOKUP(ENTRADASOF[[#This Row],[CÓDIGO PRODUCTO]],INVENTARIOOFICINA[],2,FALSE),"-")</f>
        <v>VÁLVULA DE PASO DANFOSS RECTA 4"</v>
      </c>
      <c r="E140" s="7" t="str">
        <f>IFERROR(VLOOKUP(ENTRADASOF[[#This Row],[CÓDIGO PRODUCTO]],INVENTARIOOFICINA[],3,FALSE),"-")</f>
        <v>LT002</v>
      </c>
      <c r="F140">
        <v>1</v>
      </c>
    </row>
    <row r="141" spans="1:6" ht="16" x14ac:dyDescent="0.2">
      <c r="A141" s="4">
        <v>138</v>
      </c>
      <c r="B141" s="5">
        <v>45918</v>
      </c>
      <c r="C141" s="2" t="s">
        <v>766</v>
      </c>
      <c r="D141" s="7" t="str">
        <f>IFERROR(VLOOKUP(ENTRADASOF[[#This Row],[CÓDIGO PRODUCTO]],INVENTARIOOFICINA[],2,FALSE),"-")</f>
        <v>VÁLVULA DE SEGURIDAD ½ x ¾ HANSEN 200 PSIG</v>
      </c>
      <c r="E141" s="7" t="str">
        <f>IFERROR(VLOOKUP(ENTRADASOF[[#This Row],[CÓDIGO PRODUCTO]],INVENTARIOOFICINA[],3,FALSE),"-")</f>
        <v>LT002</v>
      </c>
      <c r="F141">
        <v>1</v>
      </c>
    </row>
    <row r="142" spans="1:6" ht="16" x14ac:dyDescent="0.2">
      <c r="A142" s="4">
        <v>139</v>
      </c>
      <c r="B142" s="5">
        <v>45918</v>
      </c>
      <c r="C142" s="2" t="s">
        <v>767</v>
      </c>
      <c r="D142" s="7" t="str">
        <f>IFERROR(VLOOKUP(ENTRADASOF[[#This Row],[CÓDIGO PRODUCTO]],INVENTARIOOFICINA[],2,FALSE),"-")</f>
        <v>VÁLVULA DE SEGURIDAD HANSEN ½ x ¾ 300 PSIG</v>
      </c>
      <c r="E142" s="7" t="str">
        <f>IFERROR(VLOOKUP(ENTRADASOF[[#This Row],[CÓDIGO PRODUCTO]],INVENTARIOOFICINA[],3,FALSE),"-")</f>
        <v>LT002</v>
      </c>
      <c r="F142">
        <v>1</v>
      </c>
    </row>
    <row r="143" spans="1:6" ht="16" x14ac:dyDescent="0.2">
      <c r="A143" s="4">
        <v>140</v>
      </c>
      <c r="B143" s="5">
        <v>45918</v>
      </c>
      <c r="C143" s="2" t="s">
        <v>768</v>
      </c>
      <c r="D143" s="7" t="str">
        <f>IFERROR(VLOOKUP(ENTRADASOF[[#This Row],[CÓDIGO PRODUCTO]],INVENTARIOOFICINA[],2,FALSE),"-")</f>
        <v>VÁLVULA DE SEGURIDAD HANSEN ½ X 1" 250 PSIG</v>
      </c>
      <c r="E143" s="7" t="str">
        <f>IFERROR(VLOOKUP(ENTRADASOF[[#This Row],[CÓDIGO PRODUCTO]],INVENTARIOOFICINA[],3,FALSE),"-")</f>
        <v>LT002</v>
      </c>
      <c r="F143">
        <v>1</v>
      </c>
    </row>
    <row r="144" spans="1:6" x14ac:dyDescent="0.2">
      <c r="A144" s="4">
        <v>141</v>
      </c>
      <c r="B144" s="5">
        <v>45918</v>
      </c>
      <c r="C144" s="3" t="s">
        <v>769</v>
      </c>
      <c r="D144" s="7" t="str">
        <f>IFERROR(VLOOKUP(ENTRADASOF[[#This Row],[CÓDIGO PRODUCTO]],INVENTARIOOFICINA[],2,FALSE),"-")</f>
        <v>VÁLVULA DE SEGURIDAD HENRY 200 PSI</v>
      </c>
      <c r="E144" s="7" t="str">
        <f>IFERROR(VLOOKUP(ENTRADASOF[[#This Row],[CÓDIGO PRODUCTO]],INVENTARIOOFICINA[],3,FALSE),"-")</f>
        <v>LT002</v>
      </c>
      <c r="F144">
        <v>12</v>
      </c>
    </row>
    <row r="145" spans="1:6" x14ac:dyDescent="0.2">
      <c r="A145" s="4">
        <v>142</v>
      </c>
      <c r="B145" s="5">
        <v>45918</v>
      </c>
      <c r="C145" s="3" t="s">
        <v>770</v>
      </c>
      <c r="D145" s="7" t="str">
        <f>IFERROR(VLOOKUP(ENTRADASOF[[#This Row],[CÓDIGO PRODUCTO]],INVENTARIOOFICINA[],2,FALSE),"-")</f>
        <v>VÁLVULA DE SEGURIDAD HENRY 250 PSI</v>
      </c>
      <c r="E145" s="7" t="str">
        <f>IFERROR(VLOOKUP(ENTRADASOF[[#This Row],[CÓDIGO PRODUCTO]],INVENTARIOOFICINA[],3,FALSE),"-")</f>
        <v>LT002</v>
      </c>
      <c r="F145">
        <v>4</v>
      </c>
    </row>
    <row r="146" spans="1:6" ht="16" x14ac:dyDescent="0.2">
      <c r="A146" s="4">
        <v>143</v>
      </c>
      <c r="B146" s="5">
        <v>45918</v>
      </c>
      <c r="C146" s="2" t="s">
        <v>771</v>
      </c>
      <c r="D146" s="7" t="str">
        <f>IFERROR(VLOOKUP(ENTRADASOF[[#This Row],[CÓDIGO PRODUCTO]],INVENTARIOOFICINA[],2,FALSE),"-")</f>
        <v>VÁLVULA DE SEGURIDAD HENRY 42X¾" 250 PSI</v>
      </c>
      <c r="E146" s="7" t="str">
        <f>IFERROR(VLOOKUP(ENTRADASOF[[#This Row],[CÓDIGO PRODUCTO]],INVENTARIOOFICINA[],3,FALSE),"-")</f>
        <v>LT002</v>
      </c>
      <c r="F146">
        <v>1</v>
      </c>
    </row>
    <row r="147" spans="1:6" x14ac:dyDescent="0.2">
      <c r="A147" s="4">
        <v>144</v>
      </c>
      <c r="B147" s="5">
        <v>45918</v>
      </c>
      <c r="C147" s="3" t="s">
        <v>772</v>
      </c>
      <c r="D147" s="7" t="str">
        <f>IFERROR(VLOOKUP(ENTRADASOF[[#This Row],[CÓDIGO PRODUCTO]],INVENTARIOOFICINA[],2,FALSE),"-")</f>
        <v>VÁLVULA DE SUCCIÓN VILTER (PL</v>
      </c>
      <c r="E147" s="7" t="str">
        <f>IFERROR(VLOOKUP(ENTRADASOF[[#This Row],[CÓDIGO PRODUCTO]],INVENTARIOOFICINA[],3,FALSE),"-")</f>
        <v>LT002</v>
      </c>
      <c r="F147">
        <v>24</v>
      </c>
    </row>
    <row r="148" spans="1:6" ht="16" x14ac:dyDescent="0.2">
      <c r="A148" s="4">
        <v>145</v>
      </c>
      <c r="B148" s="5">
        <v>45918</v>
      </c>
      <c r="C148" s="2" t="s">
        <v>773</v>
      </c>
      <c r="D148" s="7" t="str">
        <f>IFERROR(VLOOKUP(ENTRADASOF[[#This Row],[CÓDIGO PRODUCTO]],INVENTARIOOFICINA[],2,FALSE),"-")</f>
        <v>VÁLVULA EXPANSIÓN NH3 TG IS A2-10A</v>
      </c>
      <c r="E148" s="7" t="str">
        <f>IFERROR(VLOOKUP(ENTRADASOF[[#This Row],[CÓDIGO PRODUCTO]],INVENTARIOOFICINA[],3,FALSE),"-")</f>
        <v>LT002</v>
      </c>
      <c r="F148">
        <v>1</v>
      </c>
    </row>
    <row r="149" spans="1:6" x14ac:dyDescent="0.2">
      <c r="A149" s="4">
        <v>146</v>
      </c>
      <c r="B149" s="5">
        <v>45918</v>
      </c>
      <c r="C149" s="3" t="s">
        <v>774</v>
      </c>
      <c r="D149" s="7" t="str">
        <f>IFERROR(VLOOKUP(ENTRADASOF[[#This Row],[CÓDIGO PRODUCTO]],INVENTARIOOFICINA[],2,FALSE),"-")</f>
        <v>VÁLVULA PARKER PARA MANÓMETRO ¼</v>
      </c>
      <c r="E149" s="7" t="str">
        <f>IFERROR(VLOOKUP(ENTRADASOF[[#This Row],[CÓDIGO PRODUCTO]],INVENTARIOOFICINA[],3,FALSE),"-")</f>
        <v>LT002</v>
      </c>
      <c r="F149">
        <v>4</v>
      </c>
    </row>
    <row r="150" spans="1:6" x14ac:dyDescent="0.2">
      <c r="A150" s="4">
        <v>147</v>
      </c>
      <c r="B150" s="5">
        <v>45918</v>
      </c>
      <c r="C150" s="3" t="s">
        <v>775</v>
      </c>
      <c r="D150" s="7" t="str">
        <f>IFERROR(VLOOKUP(ENTRADASOF[[#This Row],[CÓDIGO PRODUCTO]],INVENTARIOOFICINA[],2,FALSE),"-")</f>
        <v>VÁLVULA SEGURIDAD CYRUS SHANK 150 PSI</v>
      </c>
      <c r="E150" s="7" t="str">
        <f>IFERROR(VLOOKUP(ENTRADASOF[[#This Row],[CÓDIGO PRODUCTO]],INVENTARIOOFICINA[],3,FALSE),"-")</f>
        <v>LT002</v>
      </c>
      <c r="F150">
        <v>3</v>
      </c>
    </row>
    <row r="151" spans="1:6" ht="16" x14ac:dyDescent="0.2">
      <c r="A151" s="4">
        <v>148</v>
      </c>
      <c r="B151" s="5">
        <v>45918</v>
      </c>
      <c r="C151" s="2" t="s">
        <v>776</v>
      </c>
      <c r="D151" s="7" t="str">
        <f>IFERROR(VLOOKUP(ENTRADASOF[[#This Row],[CÓDIGO PRODUCTO]],INVENTARIOOFICINA[],2,FALSE),"-")</f>
        <v xml:space="preserve">VÁLVULA SOLENOIDE 3 VÍAS PARKER 120 VOLTS / CAPACIDAD VILTER </v>
      </c>
      <c r="E151" s="7" t="str">
        <f>IFERROR(VLOOKUP(ENTRADASOF[[#This Row],[CÓDIGO PRODUCTO]],INVENTARIOOFICINA[],3,FALSE),"-")</f>
        <v>LT002</v>
      </c>
      <c r="F151">
        <v>2</v>
      </c>
    </row>
    <row r="152" spans="1:6" ht="16" x14ac:dyDescent="0.2">
      <c r="A152" s="4">
        <v>149</v>
      </c>
      <c r="B152" s="5">
        <v>45918</v>
      </c>
      <c r="C152" s="2" t="s">
        <v>777</v>
      </c>
      <c r="D152" s="7" t="str">
        <f>IFERROR(VLOOKUP(ENTRADASOF[[#This Row],[CÓDIGO PRODUCTO]],INVENTARIOOFICINA[],2,FALSE),"-")</f>
        <v>VÁLVULA SOLENOIDE PARKER ⅜" SIN BRIDAS NI FILTROS</v>
      </c>
      <c r="E152" s="7" t="str">
        <f>IFERROR(VLOOKUP(ENTRADASOF[[#This Row],[CÓDIGO PRODUCTO]],INVENTARIOOFICINA[],3,FALSE),"-")</f>
        <v>LT002</v>
      </c>
      <c r="F152">
        <v>2</v>
      </c>
    </row>
    <row r="153" spans="1:6" x14ac:dyDescent="0.2">
      <c r="A153" s="4">
        <v>150</v>
      </c>
      <c r="B153" s="5">
        <v>45918</v>
      </c>
      <c r="C153" s="3" t="s">
        <v>778</v>
      </c>
      <c r="D153" s="7" t="str">
        <f>IFERROR(VLOOKUP(ENTRADASOF[[#This Row],[CÓDIGO PRODUCTO]],INVENTARIOOFICINA[],2,FALSE),"-")</f>
        <v>VÁLVULA SOLENOIDE PARKER ½"</v>
      </c>
      <c r="E153" s="7" t="str">
        <f>IFERROR(VLOOKUP(ENTRADASOF[[#This Row],[CÓDIGO PRODUCTO]],INVENTARIOOFICINA[],3,FALSE),"-")</f>
        <v>LT002</v>
      </c>
      <c r="F153">
        <v>8</v>
      </c>
    </row>
    <row r="154" spans="1:6" ht="16" x14ac:dyDescent="0.2">
      <c r="A154" s="4">
        <v>151</v>
      </c>
      <c r="B154" s="5">
        <v>45918</v>
      </c>
      <c r="C154" s="2" t="s">
        <v>779</v>
      </c>
      <c r="D154" s="7" t="str">
        <f>IFERROR(VLOOKUP(ENTRADASOF[[#This Row],[CÓDIGO PRODUCTO]],INVENTARIOOFICINA[],2,FALSE),"-")</f>
        <v>VÁLVULA SOLENOIDE PARKER ½" SIN FILTRO NI BRINDAS</v>
      </c>
      <c r="E154" s="7" t="str">
        <f>IFERROR(VLOOKUP(ENTRADASOF[[#This Row],[CÓDIGO PRODUCTO]],INVENTARIOOFICINA[],3,FALSE),"-")</f>
        <v>LT002</v>
      </c>
      <c r="F154">
        <v>4</v>
      </c>
    </row>
    <row r="155" spans="1:6" x14ac:dyDescent="0.2">
      <c r="A155" s="4">
        <v>152</v>
      </c>
      <c r="B155" s="5">
        <v>45918</v>
      </c>
      <c r="C155" s="3" t="s">
        <v>780</v>
      </c>
      <c r="D155" s="7" t="str">
        <f>IFERROR(VLOOKUP(ENTRADASOF[[#This Row],[CÓDIGO PRODUCTO]],INVENTARIOOFICINA[],2,FALSE),"-")</f>
        <v>VÁLVULAS DE PASO HENRY 1¼"</v>
      </c>
      <c r="E155" s="7" t="str">
        <f>IFERROR(VLOOKUP(ENTRADASOF[[#This Row],[CÓDIGO PRODUCTO]],INVENTARIOOFICINA[],3,FALSE),"-")</f>
        <v>LT002</v>
      </c>
      <c r="F155">
        <v>4</v>
      </c>
    </row>
    <row r="156" spans="1:6" x14ac:dyDescent="0.2">
      <c r="A156" s="4">
        <v>153</v>
      </c>
      <c r="B156" s="5">
        <v>45918</v>
      </c>
      <c r="C156" s="3" t="s">
        <v>781</v>
      </c>
      <c r="D156" s="7" t="str">
        <f>IFERROR(VLOOKUP(ENTRADASOF[[#This Row],[CÓDIGO PRODUCTO]],INVENTARIOOFICINA[],2,FALSE),"-")</f>
        <v>VISOR DE LÍQUIDO 30CMS</v>
      </c>
      <c r="E156" s="7" t="str">
        <f>IFERROR(VLOOKUP(ENTRADASOF[[#This Row],[CÓDIGO PRODUCTO]],INVENTARIOOFICINA[],3,FALSE),"-")</f>
        <v>LT007</v>
      </c>
      <c r="F156">
        <v>2</v>
      </c>
    </row>
    <row r="157" spans="1:6" x14ac:dyDescent="0.2">
      <c r="A157" s="4">
        <v>154</v>
      </c>
      <c r="B157" s="5">
        <v>45918</v>
      </c>
      <c r="C157" s="3" t="s">
        <v>782</v>
      </c>
      <c r="D157" s="7" t="str">
        <f>IFERROR(VLOOKUP(ENTRADASOF[[#This Row],[CÓDIGO PRODUCTO]],INVENTARIOOFICINA[],2,FALSE),"-")</f>
        <v>VISOR DE LÍQUIDO 60CMS</v>
      </c>
      <c r="E157" s="7" t="str">
        <f>IFERROR(VLOOKUP(ENTRADASOF[[#This Row],[CÓDIGO PRODUCTO]],INVENTARIOOFICINA[],3,FALSE),"-")</f>
        <v>LT007</v>
      </c>
      <c r="F157">
        <v>1</v>
      </c>
    </row>
    <row r="158" spans="1:6" x14ac:dyDescent="0.2">
      <c r="A158" s="4">
        <v>155</v>
      </c>
      <c r="B158" s="5">
        <v>45918</v>
      </c>
      <c r="C158" s="3" t="s">
        <v>783</v>
      </c>
      <c r="D158" s="7" t="str">
        <f>IFERROR(VLOOKUP(ENTRADASOF[[#This Row],[CÓDIGO PRODUCTO]],INVENTARIOOFICINA[],2,FALSE),"-")</f>
        <v>YOKE SAFETY HEAD</v>
      </c>
      <c r="E158" s="7" t="str">
        <f>IFERROR(VLOOKUP(ENTRADASOF[[#This Row],[CÓDIGO PRODUCTO]],INVENTARIOOFICINA[],3,FALSE),"-")</f>
        <v>LT022</v>
      </c>
      <c r="F158">
        <v>2</v>
      </c>
    </row>
    <row r="159" spans="1:6" x14ac:dyDescent="0.2">
      <c r="A159" s="4">
        <v>156</v>
      </c>
      <c r="B159" s="5">
        <v>45971</v>
      </c>
      <c r="C159" s="3" t="s">
        <v>612</v>
      </c>
      <c r="D159" s="7" t="str">
        <f>IFERROR(VLOOKUP(ENTRADASOF[[#This Row],[CÓDIGO PRODUCTO]],INVENTARIOOFICINA[],2,FALSE),"-")</f>
        <v>QJ 213 - XL - MPA</v>
      </c>
      <c r="E159" s="7" t="str">
        <f>IFERROR(VLOOKUP(ENTRADASOF[[#This Row],[CÓDIGO PRODUCTO]],INVENTARIOOFICINA[],3,FALSE),"-")</f>
        <v>LT046</v>
      </c>
      <c r="F159">
        <v>2</v>
      </c>
    </row>
    <row r="160" spans="1:6" x14ac:dyDescent="0.2">
      <c r="A160" s="4">
        <v>157</v>
      </c>
      <c r="B160" s="5">
        <v>45971</v>
      </c>
      <c r="C160" s="3" t="s">
        <v>613</v>
      </c>
      <c r="D160" s="7" t="str">
        <f>IFERROR(VLOOKUP(ENTRADASOF[[#This Row],[CÓDIGO PRODUCTO]],INVENTARIOOFICINA[],2,FALSE),"-")</f>
        <v>NU 213 - E - XL - TVP2 - C3</v>
      </c>
      <c r="E160" s="7" t="str">
        <f>IFERROR(VLOOKUP(ENTRADASOF[[#This Row],[CÓDIGO PRODUCTO]],INVENTARIOOFICINA[],3,FALSE),"-")</f>
        <v>LT047</v>
      </c>
      <c r="F160">
        <v>2</v>
      </c>
    </row>
    <row r="161" spans="1:6" x14ac:dyDescent="0.2">
      <c r="A161" s="4">
        <v>158</v>
      </c>
      <c r="B161" s="5">
        <v>45971</v>
      </c>
      <c r="C161" s="3" t="s">
        <v>614</v>
      </c>
      <c r="D161" s="7" t="str">
        <f>IFERROR(VLOOKUP(ENTRADASOF[[#This Row],[CÓDIGO PRODUCTO]],INVENTARIOOFICINA[],2,FALSE),"-")</f>
        <v>NU 2312 - E - XL - TUP2</v>
      </c>
      <c r="E161" s="7" t="str">
        <f>IFERROR(VLOOKUP(ENTRADASOF[[#This Row],[CÓDIGO PRODUCTO]],INVENTARIOOFICINA[],3,FALSE),"-")</f>
        <v>LT047</v>
      </c>
      <c r="F161">
        <v>1</v>
      </c>
    </row>
    <row r="162" spans="1:6" x14ac:dyDescent="0.2">
      <c r="A162" s="4">
        <v>159</v>
      </c>
      <c r="B162" s="5">
        <v>45971</v>
      </c>
      <c r="C162" s="3" t="s">
        <v>615</v>
      </c>
      <c r="D162" s="7" t="str">
        <f>IFERROR(VLOOKUP(ENTRADASOF[[#This Row],[CÓDIGO PRODUCTO]],INVENTARIOOFICINA[],2,FALSE),"-")</f>
        <v>7310 BEP</v>
      </c>
      <c r="E162" s="7" t="str">
        <f>IFERROR(VLOOKUP(ENTRADASOF[[#This Row],[CÓDIGO PRODUCTO]],INVENTARIOOFICINA[],3,FALSE),"-")</f>
        <v>LT048</v>
      </c>
      <c r="F162">
        <v>1</v>
      </c>
    </row>
    <row r="163" spans="1:6" x14ac:dyDescent="0.2">
      <c r="A163" s="4">
        <v>160</v>
      </c>
      <c r="B163" s="5">
        <v>45971</v>
      </c>
      <c r="C163" s="3" t="s">
        <v>616</v>
      </c>
      <c r="D163" s="7" t="str">
        <f>IFERROR(VLOOKUP(ENTRADASOF[[#This Row],[CÓDIGO PRODUCTO]],INVENTARIOOFICINA[],2,FALSE),"-")</f>
        <v>NU 2209 - E - XL - TUP2</v>
      </c>
      <c r="E163" s="7" t="str">
        <f>IFERROR(VLOOKUP(ENTRADASOF[[#This Row],[CÓDIGO PRODUCTO]],INVENTARIOOFICINA[],3,FALSE),"-")</f>
        <v>LT047</v>
      </c>
      <c r="F163">
        <v>6</v>
      </c>
    </row>
    <row r="164" spans="1:6" x14ac:dyDescent="0.2">
      <c r="A164" s="4">
        <v>161</v>
      </c>
      <c r="B164" s="5">
        <v>45971</v>
      </c>
      <c r="C164" s="3" t="s">
        <v>617</v>
      </c>
      <c r="D164" s="7" t="str">
        <f>IFERROR(VLOOKUP(ENTRADASOF[[#This Row],[CÓDIGO PRODUCTO]],INVENTARIOOFICINA[],2,FALSE),"-")</f>
        <v>NU 311 - E - XL - TVP2</v>
      </c>
      <c r="E164" s="7" t="str">
        <f>IFERROR(VLOOKUP(ENTRADASOF[[#This Row],[CÓDIGO PRODUCTO]],INVENTARIOOFICINA[],3,FALSE),"-")</f>
        <v>LT047</v>
      </c>
      <c r="F164">
        <v>1</v>
      </c>
    </row>
    <row r="165" spans="1:6" x14ac:dyDescent="0.2">
      <c r="A165" s="4">
        <v>162</v>
      </c>
      <c r="B165" s="5">
        <v>45971</v>
      </c>
      <c r="C165" s="3" t="s">
        <v>618</v>
      </c>
      <c r="D165" s="7" t="str">
        <f>IFERROR(VLOOKUP(ENTRADASOF[[#This Row],[CÓDIGO PRODUCTO]],INVENTARIOOFICINA[],2,FALSE),"-")</f>
        <v>NU 2205 - ECP</v>
      </c>
      <c r="E165" s="7" t="str">
        <f>IFERROR(VLOOKUP(ENTRADASOF[[#This Row],[CÓDIGO PRODUCTO]],INVENTARIOOFICINA[],3,FALSE),"-")</f>
        <v>LT047</v>
      </c>
      <c r="F165">
        <v>1</v>
      </c>
    </row>
    <row r="166" spans="1:6" x14ac:dyDescent="0.2">
      <c r="A166" s="4">
        <v>163</v>
      </c>
      <c r="B166" s="5">
        <v>45971</v>
      </c>
      <c r="C166" s="3" t="s">
        <v>619</v>
      </c>
      <c r="D166" s="7" t="str">
        <f>IFERROR(VLOOKUP(ENTRADASOF[[#This Row],[CÓDIGO PRODUCTO]],INVENTARIOOFICINA[],2,FALSE),"-")</f>
        <v>NU 2306 - ECP/C3</v>
      </c>
      <c r="E166" s="7" t="str">
        <f>IFERROR(VLOOKUP(ENTRADASOF[[#This Row],[CÓDIGO PRODUCTO]],INVENTARIOOFICINA[],3,FALSE),"-")</f>
        <v>LT047</v>
      </c>
      <c r="F166">
        <v>1</v>
      </c>
    </row>
    <row r="167" spans="1:6" x14ac:dyDescent="0.2">
      <c r="A167" s="4">
        <v>164</v>
      </c>
      <c r="B167" s="5">
        <v>45971</v>
      </c>
      <c r="C167" s="3" t="s">
        <v>620</v>
      </c>
      <c r="D167" s="7" t="str">
        <f>IFERROR(VLOOKUP(ENTRADASOF[[#This Row],[CÓDIGO PRODUCTO]],INVENTARIOOFICINA[],2,FALSE),"-")</f>
        <v>NU 208 - E - XL - TVP2</v>
      </c>
      <c r="E167" s="7" t="str">
        <f>IFERROR(VLOOKUP(ENTRADASOF[[#This Row],[CÓDIGO PRODUCTO]],INVENTARIOOFICINA[],3,FALSE),"-")</f>
        <v>LT047</v>
      </c>
      <c r="F167">
        <v>4</v>
      </c>
    </row>
    <row r="168" spans="1:6" x14ac:dyDescent="0.2">
      <c r="A168" s="4">
        <v>165</v>
      </c>
      <c r="B168" s="5">
        <v>45971</v>
      </c>
      <c r="C168" s="3" t="s">
        <v>621</v>
      </c>
      <c r="D168" s="7" t="str">
        <f>IFERROR(VLOOKUP(ENTRADASOF[[#This Row],[CÓDIGO PRODUCTO]],INVENTARIOOFICINA[],2,FALSE),"-")</f>
        <v>NU 211 - E -XL - TVP2</v>
      </c>
      <c r="E168" s="7" t="str">
        <f>IFERROR(VLOOKUP(ENTRADASOF[[#This Row],[CÓDIGO PRODUCTO]],INVENTARIOOFICINA[],3,FALSE),"-")</f>
        <v>LT047</v>
      </c>
      <c r="F168">
        <v>1</v>
      </c>
    </row>
    <row r="169" spans="1:6" x14ac:dyDescent="0.2">
      <c r="A169" s="4">
        <v>166</v>
      </c>
      <c r="B169" s="5">
        <v>45971</v>
      </c>
      <c r="C169" s="3" t="s">
        <v>622</v>
      </c>
      <c r="D169" s="7" t="str">
        <f>IFERROR(VLOOKUP(ENTRADASOF[[#This Row],[CÓDIGO PRODUCTO]],INVENTARIOOFICINA[],2,FALSE),"-")</f>
        <v>NU 2208 - E - XL - TVP2</v>
      </c>
      <c r="E169" s="7" t="str">
        <f>IFERROR(VLOOKUP(ENTRADASOF[[#This Row],[CÓDIGO PRODUCTO]],INVENTARIOOFICINA[],3,FALSE),"-")</f>
        <v>LT047</v>
      </c>
      <c r="F169">
        <v>5</v>
      </c>
    </row>
    <row r="170" spans="1:6" x14ac:dyDescent="0.2">
      <c r="A170" s="4">
        <v>167</v>
      </c>
      <c r="B170" s="5">
        <v>45971</v>
      </c>
      <c r="C170" s="3" t="s">
        <v>623</v>
      </c>
      <c r="D170" s="7" t="str">
        <f>IFERROR(VLOOKUP(ENTRADASOF[[#This Row],[CÓDIGO PRODUCTO]],INVENTARIOOFICINA[],2,FALSE),"-")</f>
        <v>NU 307 - E -XL - TVP2</v>
      </c>
      <c r="E170" s="7" t="str">
        <f>IFERROR(VLOOKUP(ENTRADASOF[[#This Row],[CÓDIGO PRODUCTO]],INVENTARIOOFICINA[],3,FALSE),"-")</f>
        <v>LT047</v>
      </c>
      <c r="F170">
        <v>2</v>
      </c>
    </row>
    <row r="171" spans="1:6" x14ac:dyDescent="0.2">
      <c r="A171" s="4">
        <v>168</v>
      </c>
      <c r="B171" s="5">
        <v>45971</v>
      </c>
      <c r="C171" s="3" t="s">
        <v>624</v>
      </c>
      <c r="D171" s="7" t="str">
        <f>IFERROR(VLOOKUP(ENTRADASOF[[#This Row],[CÓDIGO PRODUCTO]],INVENTARIOOFICINA[],2,FALSE),"-")</f>
        <v>7306 - B - XL - TVP</v>
      </c>
      <c r="E171" s="7" t="str">
        <f>IFERROR(VLOOKUP(ENTRADASOF[[#This Row],[CÓDIGO PRODUCTO]],INVENTARIOOFICINA[],3,FALSE),"-")</f>
        <v>LT048</v>
      </c>
      <c r="F171">
        <v>1</v>
      </c>
    </row>
    <row r="172" spans="1:6" x14ac:dyDescent="0.2">
      <c r="A172" s="4">
        <v>169</v>
      </c>
      <c r="B172" s="5">
        <v>45971</v>
      </c>
      <c r="C172" s="3" t="s">
        <v>625</v>
      </c>
      <c r="D172" s="7" t="str">
        <f>IFERROR(VLOOKUP(ENTRADASOF[[#This Row],[CÓDIGO PRODUCTO]],INVENTARIOOFICINA[],2,FALSE),"-")</f>
        <v>NU 206 - E - XL - TVP2</v>
      </c>
      <c r="E172" s="7" t="str">
        <f>IFERROR(VLOOKUP(ENTRADASOF[[#This Row],[CÓDIGO PRODUCTO]],INVENTARIOOFICINA[],3,FALSE),"-")</f>
        <v>LT047</v>
      </c>
      <c r="F172">
        <v>2</v>
      </c>
    </row>
    <row r="173" spans="1:6" x14ac:dyDescent="0.2">
      <c r="A173" s="4">
        <v>170</v>
      </c>
      <c r="B173" s="5">
        <v>45971</v>
      </c>
      <c r="C173" s="3" t="s">
        <v>626</v>
      </c>
      <c r="D173" s="7" t="str">
        <f>IFERROR(VLOOKUP(ENTRADASOF[[#This Row],[CÓDIGO PRODUCTO]],INVENTARIOOFICINA[],2,FALSE),"-")</f>
        <v>7307 - B - XL - TVP</v>
      </c>
      <c r="E173" s="7" t="str">
        <f>IFERROR(VLOOKUP(ENTRADASOF[[#This Row],[CÓDIGO PRODUCTO]],INVENTARIOOFICINA[],3,FALSE),"-")</f>
        <v>LT048</v>
      </c>
      <c r="F173">
        <v>1</v>
      </c>
    </row>
    <row r="174" spans="1:6" x14ac:dyDescent="0.2">
      <c r="A174" s="4">
        <v>171</v>
      </c>
      <c r="B174" s="5">
        <v>45971</v>
      </c>
      <c r="C174" s="3" t="s">
        <v>627</v>
      </c>
      <c r="D174" s="7" t="str">
        <f>IFERROR(VLOOKUP(ENTRADASOF[[#This Row],[CÓDIGO PRODUCTO]],INVENTARIOOFICINA[],2,FALSE),"-")</f>
        <v>6307 - C3</v>
      </c>
      <c r="E174" s="7" t="str">
        <f>IFERROR(VLOOKUP(ENTRADASOF[[#This Row],[CÓDIGO PRODUCTO]],INVENTARIOOFICINA[],3,FALSE),"-")</f>
        <v>LT049</v>
      </c>
      <c r="F174">
        <v>1</v>
      </c>
    </row>
    <row r="175" spans="1:6" x14ac:dyDescent="0.2">
      <c r="A175" s="4">
        <v>172</v>
      </c>
      <c r="B175" s="5">
        <v>45971</v>
      </c>
      <c r="C175" s="3" t="s">
        <v>628</v>
      </c>
      <c r="D175" s="7" t="str">
        <f>IFERROR(VLOOKUP(ENTRADASOF[[#This Row],[CÓDIGO PRODUCTO]],INVENTARIOOFICINA[],2,FALSE),"-")</f>
        <v>NU 2205 - E - XL - TVP2</v>
      </c>
      <c r="E175" s="7" t="str">
        <f>IFERROR(VLOOKUP(ENTRADASOF[[#This Row],[CÓDIGO PRODUCTO]],INVENTARIOOFICINA[],3,FALSE),"-")</f>
        <v>LT047</v>
      </c>
      <c r="F175">
        <v>2</v>
      </c>
    </row>
    <row r="176" spans="1:6" x14ac:dyDescent="0.2">
      <c r="A176" s="4">
        <v>173</v>
      </c>
      <c r="B176" s="5">
        <v>45971</v>
      </c>
      <c r="C176" s="3"/>
      <c r="D176" s="7" t="str">
        <f>IFERROR(VLOOKUP(ENTRADASOF[[#This Row],[CÓDIGO PRODUCTO]],INVENTARIOOFICINA[],2,FALSE),"-")</f>
        <v>-</v>
      </c>
      <c r="E176" s="7" t="str">
        <f>IFERROR(VLOOKUP(ENTRADASOF[[#This Row],[CÓDIGO PRODUCTO]],INVENTARIOOFICINA[],3,FALSE),"-")</f>
        <v>-</v>
      </c>
    </row>
    <row r="177" spans="1:5" x14ac:dyDescent="0.2">
      <c r="A177" s="4">
        <v>174</v>
      </c>
      <c r="B177" s="5">
        <v>45971</v>
      </c>
      <c r="C177" s="7"/>
      <c r="D177" s="15" t="str">
        <f>IFERROR(VLOOKUP(ENTRADASOF[[#This Row],[CÓDIGO PRODUCTO]],INVENTARIOOFICINA[],2,FALSE),"-")</f>
        <v>-</v>
      </c>
      <c r="E177" s="15" t="str">
        <f>IFERROR(VLOOKUP(ENTRADASOF[[#This Row],[CÓDIGO PRODUCTO]],INVENTARIOOFICINA[],3,FALSE),"-")</f>
        <v>-</v>
      </c>
    </row>
    <row r="178" spans="1:5" x14ac:dyDescent="0.2">
      <c r="A178" s="4">
        <v>175</v>
      </c>
      <c r="B178" s="5">
        <v>45971</v>
      </c>
      <c r="C178" s="7"/>
      <c r="D178" s="15" t="str">
        <f>IFERROR(VLOOKUP(ENTRADASOF[[#This Row],[CÓDIGO PRODUCTO]],INVENTARIOOFICINA[],2,FALSE),"-")</f>
        <v>-</v>
      </c>
      <c r="E178" s="15" t="str">
        <f>IFERROR(VLOOKUP(ENTRADASOF[[#This Row],[CÓDIGO PRODUCTO]],INVENTARIOOFICINA[],3,FALSE),"-")</f>
        <v>-</v>
      </c>
    </row>
    <row r="179" spans="1:5" x14ac:dyDescent="0.2">
      <c r="A179" s="4">
        <v>176</v>
      </c>
      <c r="B179" s="5">
        <v>45971</v>
      </c>
      <c r="C179" s="7"/>
      <c r="D179" s="15" t="str">
        <f>IFERROR(VLOOKUP(ENTRADASOF[[#This Row],[CÓDIGO PRODUCTO]],INVENTARIOOFICINA[],2,FALSE),"-")</f>
        <v>-</v>
      </c>
      <c r="E179" s="15" t="str">
        <f>IFERROR(VLOOKUP(ENTRADASOF[[#This Row],[CÓDIGO PRODUCTO]],INVENTARIOOFICINA[],3,FALSE),"-")</f>
        <v>-</v>
      </c>
    </row>
    <row r="180" spans="1:5" x14ac:dyDescent="0.2">
      <c r="A180" s="4">
        <v>177</v>
      </c>
      <c r="B180" s="5">
        <v>45971</v>
      </c>
      <c r="C180" s="7"/>
      <c r="D180" s="15" t="str">
        <f>IFERROR(VLOOKUP(ENTRADASOF[[#This Row],[CÓDIGO PRODUCTO]],INVENTARIOOFICINA[],2,FALSE),"-")</f>
        <v>-</v>
      </c>
      <c r="E180" s="15" t="str">
        <f>IFERROR(VLOOKUP(ENTRADASOF[[#This Row],[CÓDIGO PRODUCTO]],INVENTARIOOFICINA[],3,FALSE),"-")</f>
        <v>-</v>
      </c>
    </row>
    <row r="181" spans="1:5" x14ac:dyDescent="0.2">
      <c r="A181" s="4">
        <v>178</v>
      </c>
      <c r="B181" s="5">
        <v>45971</v>
      </c>
      <c r="C181" s="7"/>
      <c r="D181" s="15" t="str">
        <f>IFERROR(VLOOKUP(ENTRADASOF[[#This Row],[CÓDIGO PRODUCTO]],INVENTARIOOFICINA[],2,FALSE),"-")</f>
        <v>-</v>
      </c>
      <c r="E181" s="15" t="str">
        <f>IFERROR(VLOOKUP(ENTRADASOF[[#This Row],[CÓDIGO PRODUCTO]],INVENTARIOOFICINA[],3,FALSE),"-")</f>
        <v>-</v>
      </c>
    </row>
    <row r="182" spans="1:5" x14ac:dyDescent="0.2">
      <c r="A182" s="4">
        <v>179</v>
      </c>
      <c r="B182" s="5">
        <v>45971</v>
      </c>
      <c r="C182" s="7"/>
      <c r="D182" s="15" t="str">
        <f>IFERROR(VLOOKUP(ENTRADASOF[[#This Row],[CÓDIGO PRODUCTO]],INVENTARIOOFICINA[],2,FALSE),"-")</f>
        <v>-</v>
      </c>
      <c r="E182" s="15" t="str">
        <f>IFERROR(VLOOKUP(ENTRADASOF[[#This Row],[CÓDIGO PRODUCTO]],INVENTARIOOFICINA[],3,FALSE),"-")</f>
        <v>-</v>
      </c>
    </row>
    <row r="183" spans="1:5" x14ac:dyDescent="0.2">
      <c r="A183" s="4">
        <v>180</v>
      </c>
      <c r="B183" s="5">
        <v>45971</v>
      </c>
      <c r="C183" s="7"/>
      <c r="D183" s="15" t="str">
        <f>IFERROR(VLOOKUP(ENTRADASOF[[#This Row],[CÓDIGO PRODUCTO]],INVENTARIOOFICINA[],2,FALSE),"-")</f>
        <v>-</v>
      </c>
      <c r="E183" s="15" t="str">
        <f>IFERROR(VLOOKUP(ENTRADASOF[[#This Row],[CÓDIGO PRODUCTO]],INVENTARIOOFICINA[],3,FALSE),"-")</f>
        <v>-</v>
      </c>
    </row>
    <row r="184" spans="1:5" x14ac:dyDescent="0.2">
      <c r="A184" s="4">
        <v>181</v>
      </c>
      <c r="B184" s="5">
        <v>45971</v>
      </c>
      <c r="C184" s="7"/>
      <c r="D184" s="15" t="str">
        <f>IFERROR(VLOOKUP(ENTRADASOF[[#This Row],[CÓDIGO PRODUCTO]],INVENTARIOOFICINA[],2,FALSE),"-")</f>
        <v>-</v>
      </c>
      <c r="E184" s="15" t="str">
        <f>IFERROR(VLOOKUP(ENTRADASOF[[#This Row],[CÓDIGO PRODUCTO]],INVENTARIOOFICINA[],3,FALSE),"-")</f>
        <v>-</v>
      </c>
    </row>
    <row r="185" spans="1:5" x14ac:dyDescent="0.2">
      <c r="A185" s="4">
        <v>182</v>
      </c>
      <c r="B185" s="5">
        <v>45971</v>
      </c>
      <c r="C185" s="7"/>
      <c r="D185" s="15" t="str">
        <f>IFERROR(VLOOKUP(ENTRADASOF[[#This Row],[CÓDIGO PRODUCTO]],INVENTARIOOFICINA[],2,FALSE),"-")</f>
        <v>-</v>
      </c>
      <c r="E185" s="15" t="str">
        <f>IFERROR(VLOOKUP(ENTRADASOF[[#This Row],[CÓDIGO PRODUCTO]],INVENTARIOOFICINA[],3,FALSE),"-")</f>
        <v>-</v>
      </c>
    </row>
    <row r="186" spans="1:5" x14ac:dyDescent="0.2">
      <c r="A186" s="4">
        <v>183</v>
      </c>
      <c r="B186" s="5">
        <v>45971</v>
      </c>
      <c r="C186" s="7"/>
      <c r="D186" s="15" t="str">
        <f>IFERROR(VLOOKUP(ENTRADASOF[[#This Row],[CÓDIGO PRODUCTO]],INVENTARIOOFICINA[],2,FALSE),"-")</f>
        <v>-</v>
      </c>
      <c r="E186" s="15" t="str">
        <f>IFERROR(VLOOKUP(ENTRADASOF[[#This Row],[CÓDIGO PRODUCTO]],INVENTARIOOFICINA[],3,FALSE),"-")</f>
        <v>-</v>
      </c>
    </row>
    <row r="187" spans="1:5" x14ac:dyDescent="0.2">
      <c r="A187" s="4">
        <v>184</v>
      </c>
      <c r="B187" s="5">
        <v>45971</v>
      </c>
      <c r="C187" s="7"/>
      <c r="D187" s="15" t="str">
        <f>IFERROR(VLOOKUP(ENTRADASOF[[#This Row],[CÓDIGO PRODUCTO]],INVENTARIOOFICINA[],2,FALSE),"-")</f>
        <v>-</v>
      </c>
      <c r="E187" s="15" t="str">
        <f>IFERROR(VLOOKUP(ENTRADASOF[[#This Row],[CÓDIGO PRODUCTO]],INVENTARIOOFICINA[],3,FALSE),"-")</f>
        <v>-</v>
      </c>
    </row>
    <row r="188" spans="1:5" x14ac:dyDescent="0.2">
      <c r="A188" s="4">
        <v>185</v>
      </c>
      <c r="B188" s="5">
        <v>45971</v>
      </c>
      <c r="C188" s="7"/>
      <c r="D188" s="15" t="str">
        <f>IFERROR(VLOOKUP(ENTRADASOF[[#This Row],[CÓDIGO PRODUCTO]],INVENTARIOOFICINA[],2,FALSE),"-")</f>
        <v>-</v>
      </c>
      <c r="E188" s="15" t="str">
        <f>IFERROR(VLOOKUP(ENTRADASOF[[#This Row],[CÓDIGO PRODUCTO]],INVENTARIOOFICINA[],3,FALSE),"-")</f>
        <v>-</v>
      </c>
    </row>
    <row r="189" spans="1:5" x14ac:dyDescent="0.2">
      <c r="A189" s="4">
        <v>186</v>
      </c>
      <c r="B189" s="5">
        <v>45971</v>
      </c>
      <c r="C189" s="7"/>
      <c r="D189" s="15" t="str">
        <f>IFERROR(VLOOKUP(ENTRADASOF[[#This Row],[CÓDIGO PRODUCTO]],INVENTARIOOFICINA[],2,FALSE),"-")</f>
        <v>-</v>
      </c>
      <c r="E189" s="15" t="str">
        <f>IFERROR(VLOOKUP(ENTRADASOF[[#This Row],[CÓDIGO PRODUCTO]],INVENTARIOOFICINA[],3,FALSE),"-")</f>
        <v>-</v>
      </c>
    </row>
    <row r="190" spans="1:5" x14ac:dyDescent="0.2">
      <c r="A190" s="4">
        <v>187</v>
      </c>
      <c r="B190" s="5">
        <v>45971</v>
      </c>
      <c r="C190" s="7"/>
      <c r="D190" s="15" t="str">
        <f>IFERROR(VLOOKUP(ENTRADASOF[[#This Row],[CÓDIGO PRODUCTO]],INVENTARIOOFICINA[],2,FALSE),"-")</f>
        <v>-</v>
      </c>
      <c r="E190" s="15" t="str">
        <f>IFERROR(VLOOKUP(ENTRADASOF[[#This Row],[CÓDIGO PRODUCTO]],INVENTARIOOFICINA[],3,FALSE),"-")</f>
        <v>-</v>
      </c>
    </row>
    <row r="191" spans="1:5" x14ac:dyDescent="0.2">
      <c r="A191" s="4">
        <v>188</v>
      </c>
      <c r="B191" s="5">
        <v>45971</v>
      </c>
      <c r="C191" s="7"/>
      <c r="D191" s="15" t="str">
        <f>IFERROR(VLOOKUP(ENTRADASOF[[#This Row],[CÓDIGO PRODUCTO]],INVENTARIOOFICINA[],2,FALSE),"-")</f>
        <v>-</v>
      </c>
      <c r="E191" s="15" t="str">
        <f>IFERROR(VLOOKUP(ENTRADASOF[[#This Row],[CÓDIGO PRODUCTO]],INVENTARIOOFICINA[],3,FALSE),"-")</f>
        <v>-</v>
      </c>
    </row>
    <row r="192" spans="1:5" x14ac:dyDescent="0.2">
      <c r="A192" s="4">
        <v>189</v>
      </c>
      <c r="B192" s="5">
        <v>45971</v>
      </c>
      <c r="C192" s="7"/>
      <c r="D192" s="15" t="str">
        <f>IFERROR(VLOOKUP(ENTRADASOF[[#This Row],[CÓDIGO PRODUCTO]],INVENTARIOOFICINA[],2,FALSE),"-")</f>
        <v>-</v>
      </c>
      <c r="E192" s="15" t="str">
        <f>IFERROR(VLOOKUP(ENTRADASOF[[#This Row],[CÓDIGO PRODUCTO]],INVENTARIOOFICINA[],3,FALSE),"-")</f>
        <v>-</v>
      </c>
    </row>
    <row r="193" spans="1:5" x14ac:dyDescent="0.2">
      <c r="A193" s="4">
        <v>190</v>
      </c>
      <c r="B193" s="5">
        <v>45971</v>
      </c>
      <c r="C193" s="7"/>
      <c r="D193" s="15" t="str">
        <f>IFERROR(VLOOKUP(ENTRADASOF[[#This Row],[CÓDIGO PRODUCTO]],INVENTARIOOFICINA[],2,FALSE),"-")</f>
        <v>-</v>
      </c>
      <c r="E193" s="15" t="str">
        <f>IFERROR(VLOOKUP(ENTRADASOF[[#This Row],[CÓDIGO PRODUCTO]],INVENTARIOOFICINA[],3,FALSE),"-")</f>
        <v>-</v>
      </c>
    </row>
    <row r="194" spans="1:5" x14ac:dyDescent="0.2">
      <c r="A194" s="4">
        <v>191</v>
      </c>
      <c r="B194" s="5">
        <v>45971</v>
      </c>
      <c r="C194" s="7"/>
      <c r="D194" s="15" t="str">
        <f>IFERROR(VLOOKUP(ENTRADASOF[[#This Row],[CÓDIGO PRODUCTO]],INVENTARIOOFICINA[],2,FALSE),"-")</f>
        <v>-</v>
      </c>
      <c r="E194" s="15" t="str">
        <f>IFERROR(VLOOKUP(ENTRADASOF[[#This Row],[CÓDIGO PRODUCTO]],INVENTARIOOFICINA[],3,FALSE),"-")</f>
        <v>-</v>
      </c>
    </row>
    <row r="195" spans="1:5" x14ac:dyDescent="0.2">
      <c r="A195" s="4">
        <v>192</v>
      </c>
      <c r="B195" s="5">
        <v>45971</v>
      </c>
      <c r="C195" s="7"/>
      <c r="D195" s="15" t="str">
        <f>IFERROR(VLOOKUP(ENTRADASOF[[#This Row],[CÓDIGO PRODUCTO]],INVENTARIOOFICINA[],2,FALSE),"-")</f>
        <v>-</v>
      </c>
      <c r="E195" s="15" t="str">
        <f>IFERROR(VLOOKUP(ENTRADASOF[[#This Row],[CÓDIGO PRODUCTO]],INVENTARIOOFICINA[],3,FALSE),"-")</f>
        <v>-</v>
      </c>
    </row>
    <row r="196" spans="1:5" x14ac:dyDescent="0.2">
      <c r="A196" s="4">
        <v>193</v>
      </c>
      <c r="B196" s="5">
        <v>45971</v>
      </c>
      <c r="C196" s="7"/>
      <c r="D196" s="15" t="str">
        <f>IFERROR(VLOOKUP(ENTRADASOF[[#This Row],[CÓDIGO PRODUCTO]],INVENTARIOOFICINA[],2,FALSE),"-")</f>
        <v>-</v>
      </c>
      <c r="E196" s="15" t="str">
        <f>IFERROR(VLOOKUP(ENTRADASOF[[#This Row],[CÓDIGO PRODUCTO]],INVENTARIOOFICINA[],3,FALSE),"-")</f>
        <v>-</v>
      </c>
    </row>
    <row r="197" spans="1:5" x14ac:dyDescent="0.2">
      <c r="A197" s="4">
        <v>194</v>
      </c>
      <c r="B197" s="5">
        <v>45971</v>
      </c>
      <c r="C197" s="7"/>
      <c r="D197" s="15" t="str">
        <f>IFERROR(VLOOKUP(ENTRADASOF[[#This Row],[CÓDIGO PRODUCTO]],INVENTARIOOFICINA[],2,FALSE),"-")</f>
        <v>-</v>
      </c>
      <c r="E197" s="15" t="str">
        <f>IFERROR(VLOOKUP(ENTRADASOF[[#This Row],[CÓDIGO PRODUCTO]],INVENTARIOOFICINA[],3,FALSE),"-")</f>
        <v>-</v>
      </c>
    </row>
    <row r="198" spans="1:5" x14ac:dyDescent="0.2">
      <c r="A198" s="4">
        <v>195</v>
      </c>
      <c r="B198" s="5">
        <v>45971</v>
      </c>
      <c r="C198" s="7"/>
      <c r="D198" s="15" t="str">
        <f>IFERROR(VLOOKUP(ENTRADASOF[[#This Row],[CÓDIGO PRODUCTO]],INVENTARIOOFICINA[],2,FALSE),"-")</f>
        <v>-</v>
      </c>
      <c r="E198" s="15" t="str">
        <f>IFERROR(VLOOKUP(ENTRADASOF[[#This Row],[CÓDIGO PRODUCTO]],INVENTARIOOFICINA[],3,FALSE),"-")</f>
        <v>-</v>
      </c>
    </row>
  </sheetData>
  <mergeCells count="1">
    <mergeCell ref="A1:F1"/>
  </mergeCells>
  <phoneticPr fontId="6" type="noConversion"/>
  <pageMargins left="0.7" right="0.7" top="0.75" bottom="0.75" header="0.3" footer="0.3"/>
  <ignoredErrors>
    <ignoredError sqref="C142:C158" listDataValidation="1"/>
    <ignoredError sqref="C162:C175" numberStoredAsText="1"/>
  </ignoredErrors>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C75DB8C9-E3C3-4C21-9588-9BD79A206586}">
          <x14:formula1>
            <xm:f>INVENTARIOOFICINA!$A$4:$A$140</xm:f>
          </x14:formula1>
          <xm:sqref>C5:C158</xm:sqref>
        </x14:dataValidation>
        <x14:dataValidation type="list" allowBlank="1" showInputMessage="1" showErrorMessage="1" xr:uid="{3B75438A-8A37-484B-9C75-C6A585F8F95D}">
          <x14:formula1>
            <xm:f>INVENTARIOOFICINA!$A$4:$A$213</xm:f>
          </x14:formula1>
          <xm:sqref>C159</xm:sqref>
        </x14:dataValidation>
        <x14:dataValidation type="list" allowBlank="1" showInputMessage="1" showErrorMessage="1" xr:uid="{054BF4F8-F7B6-4CA0-BC8C-F80DBB55AE09}">
          <x14:formula1>
            <xm:f>INVENTARIOOFICINA!$A$4:$A$199</xm:f>
          </x14:formula1>
          <xm:sqref>C4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4C53-2C85-4B6F-9AD2-8CB3539F71B5}">
  <sheetPr>
    <tabColor theme="5" tint="0.39997558519241921"/>
  </sheetPr>
  <dimension ref="A1:F160"/>
  <sheetViews>
    <sheetView zoomScale="94" workbookViewId="0">
      <selection activeCell="C21" sqref="C21"/>
    </sheetView>
  </sheetViews>
  <sheetFormatPr baseColWidth="10" defaultRowHeight="15" x14ac:dyDescent="0.2"/>
  <cols>
    <col min="1" max="1" width="20.6640625" customWidth="1"/>
    <col min="2" max="2" width="15.6640625" style="28" customWidth="1"/>
    <col min="3" max="3" width="21.6640625" customWidth="1"/>
    <col min="4" max="4" width="60.83203125" customWidth="1"/>
    <col min="5" max="5" width="14.33203125" customWidth="1"/>
    <col min="6" max="6" width="14.5" customWidth="1"/>
    <col min="7" max="7" width="19" customWidth="1"/>
  </cols>
  <sheetData>
    <row r="1" spans="1:6" ht="41.25" customHeight="1" x14ac:dyDescent="0.2">
      <c r="A1" s="23" t="s">
        <v>307</v>
      </c>
      <c r="B1" s="23"/>
      <c r="C1" s="23"/>
      <c r="D1" s="23"/>
      <c r="E1" s="23"/>
      <c r="F1" s="23"/>
    </row>
    <row r="3" spans="1:6" ht="50.25" customHeight="1" x14ac:dyDescent="0.2">
      <c r="A3" s="1" t="s">
        <v>7</v>
      </c>
      <c r="B3" s="27" t="s">
        <v>8</v>
      </c>
      <c r="C3" s="1" t="s">
        <v>9</v>
      </c>
      <c r="D3" s="1" t="s">
        <v>0</v>
      </c>
      <c r="E3" s="1" t="s">
        <v>1</v>
      </c>
      <c r="F3" s="1" t="s">
        <v>10</v>
      </c>
    </row>
    <row r="4" spans="1:6" x14ac:dyDescent="0.2">
      <c r="A4" s="13">
        <v>1</v>
      </c>
      <c r="B4" s="29">
        <v>45918</v>
      </c>
      <c r="C4" s="7" t="s">
        <v>762</v>
      </c>
      <c r="D4" s="7" t="str">
        <f>IFERROR(VLOOKUP(SALIDASOF[[#This Row],[CÓDIGO PRODUCTO]],INVENTARIOOFICINA[],2,FALSE),"-")</f>
        <v>VÁLVULA DE DESCARGA VILTER 450 XL</v>
      </c>
      <c r="E4" s="7" t="str">
        <f>IFERROR(VLOOKUP(SALIDASOF[[#This Row],[CÓDIGO PRODUCTO]],INVENTARIOOFICINA[],3,FALSE),"-")</f>
        <v>LT002</v>
      </c>
      <c r="F4">
        <v>4</v>
      </c>
    </row>
    <row r="5" spans="1:6" x14ac:dyDescent="0.2">
      <c r="A5" s="13">
        <v>2</v>
      </c>
      <c r="B5" s="29">
        <v>45918</v>
      </c>
      <c r="C5" s="7" t="s">
        <v>636</v>
      </c>
      <c r="D5" s="7" t="str">
        <f>IFERROR(VLOOKUP(SALIDASOF[[#This Row],[CÓDIGO PRODUCTO]],INVENTARIOOFICINA[],2,FALSE),"-")</f>
        <v>BOMBA DE ACEITE VILTER OEN</v>
      </c>
      <c r="E5" s="7" t="str">
        <f>IFERROR(VLOOKUP(SALIDASOF[[#This Row],[CÓDIGO PRODUCTO]],INVENTARIOOFICINA[],3,FALSE),"-")</f>
        <v>LT029</v>
      </c>
      <c r="F5">
        <v>1</v>
      </c>
    </row>
    <row r="6" spans="1:6" x14ac:dyDescent="0.2">
      <c r="A6" s="13">
        <v>3</v>
      </c>
      <c r="B6" s="29">
        <v>45918</v>
      </c>
      <c r="C6" s="7" t="s">
        <v>728</v>
      </c>
      <c r="D6" s="7" t="str">
        <f>IFERROR(VLOOKUP(SALIDASOF[[#This Row],[CÓDIGO PRODUCTO]],INVENTARIOOFICINA[],2,FALSE),"-")</f>
        <v>SET DE ÓRING MDE CILINDROS ORIGINAL VILTER</v>
      </c>
      <c r="E6" s="7" t="str">
        <f>IFERROR(VLOOKUP(SALIDASOF[[#This Row],[CÓDIGO PRODUCTO]],INVENTARIOOFICINA[],3,FALSE),"-")</f>
        <v>LT001</v>
      </c>
      <c r="F6">
        <v>4</v>
      </c>
    </row>
    <row r="7" spans="1:6" x14ac:dyDescent="0.2">
      <c r="A7" s="13">
        <v>4</v>
      </c>
      <c r="B7" s="29">
        <v>45918</v>
      </c>
      <c r="C7" s="7" t="s">
        <v>709</v>
      </c>
      <c r="D7" s="7" t="str">
        <f>IFERROR(VLOOKUP(SALIDASOF[[#This Row],[CÓDIGO PRODUCTO]],INVENTARIOOFICINA[],2,FALSE),"-")</f>
        <v>RESORTE DE VÁLVULA VILTER</v>
      </c>
      <c r="E7" s="7" t="str">
        <f>IFERROR(VLOOKUP(SALIDASOF[[#This Row],[CÓDIGO PRODUCTO]],INVENTARIOOFICINA[],3,FALSE),"-")</f>
        <v>LT009</v>
      </c>
      <c r="F7">
        <v>48</v>
      </c>
    </row>
    <row r="8" spans="1:6" x14ac:dyDescent="0.2">
      <c r="A8" s="13">
        <v>5</v>
      </c>
      <c r="B8" s="29">
        <v>45918</v>
      </c>
      <c r="C8" s="7" t="s">
        <v>643</v>
      </c>
      <c r="D8" s="7" t="str">
        <f>IFERROR(VLOOKUP(SALIDASOF[[#This Row],[CÓDIGO PRODUCTO]],INVENTARIOOFICINA[],2,FALSE),"-")</f>
        <v>BULÓN DE PISTÓN</v>
      </c>
      <c r="E8" s="7" t="str">
        <f>IFERROR(VLOOKUP(SALIDASOF[[#This Row],[CÓDIGO PRODUCTO]],INVENTARIOOFICINA[],3,FALSE),"-")</f>
        <v>LT008</v>
      </c>
      <c r="F8">
        <v>4</v>
      </c>
    </row>
    <row r="9" spans="1:6" x14ac:dyDescent="0.2">
      <c r="A9" s="13">
        <v>6</v>
      </c>
      <c r="B9" s="29">
        <v>45918</v>
      </c>
      <c r="C9" s="7" t="s">
        <v>690</v>
      </c>
      <c r="D9" s="7" t="str">
        <f>IFERROR(VLOOKUP(SALIDASOF[[#This Row],[CÓDIGO PRODUCTO]],INVENTARIOOFICINA[],2,FALSE),"-")</f>
        <v xml:space="preserve">ORING DE CILINDRO VILTER </v>
      </c>
      <c r="E9" s="7" t="str">
        <f>IFERROR(VLOOKUP(SALIDASOF[[#This Row],[CÓDIGO PRODUCTO]],INVENTARIOOFICINA[],3,FALSE),"-")</f>
        <v>LT042</v>
      </c>
      <c r="F9">
        <v>4</v>
      </c>
    </row>
    <row r="10" spans="1:6" x14ac:dyDescent="0.2">
      <c r="A10" s="13">
        <v>7</v>
      </c>
      <c r="B10" s="29">
        <v>45918</v>
      </c>
      <c r="C10" s="7" t="s">
        <v>723</v>
      </c>
      <c r="D10" s="7" t="str">
        <f>IFERROR(VLOOKUP(SALIDASOF[[#This Row],[CÓDIGO PRODUCTO]],INVENTARIOOFICINA[],2,FALSE),"-")</f>
        <v>SELLO MECÁNICO VILTER 440</v>
      </c>
      <c r="E10" s="7" t="str">
        <f>IFERROR(VLOOKUP(SALIDASOF[[#This Row],[CÓDIGO PRODUCTO]],INVENTARIOOFICINA[],3,FALSE),"-")</f>
        <v>LT020</v>
      </c>
      <c r="F10">
        <v>1</v>
      </c>
    </row>
    <row r="11" spans="1:6" x14ac:dyDescent="0.2">
      <c r="A11" s="13">
        <v>8</v>
      </c>
      <c r="B11" s="29">
        <v>45726</v>
      </c>
      <c r="C11" s="7" t="s">
        <v>666</v>
      </c>
      <c r="D11" s="7" t="str">
        <f>IFERROR(VLOOKUP(SALIDASOF[[#This Row],[CÓDIGO PRODUCTO]],INVENTARIOOFICINA[],2,FALSE),"-")</f>
        <v>FILTRO DE ACEITE VILTER 1448C</v>
      </c>
      <c r="E11" s="7" t="str">
        <f>IFERROR(VLOOKUP(SALIDASOF[[#This Row],[CÓDIGO PRODUCTO]],INVENTARIOOFICINA[],3,FALSE),"-")</f>
        <v>LT010</v>
      </c>
      <c r="F11">
        <v>1</v>
      </c>
    </row>
    <row r="12" spans="1:6" x14ac:dyDescent="0.2">
      <c r="A12" s="13">
        <v>9</v>
      </c>
      <c r="B12" s="29">
        <v>45848</v>
      </c>
      <c r="C12" s="7" t="s">
        <v>640</v>
      </c>
      <c r="D12" s="7" t="str">
        <f>IFERROR(VLOOKUP(SALIDASOF[[#This Row],[CÓDIGO PRODUCTO]],INVENTARIOOFICINA[],2,FALSE),"-")</f>
        <v>BRAZO DE BIELA VILTER 450 XL</v>
      </c>
      <c r="E12" s="7" t="str">
        <f>IFERROR(VLOOKUP(SALIDASOF[[#This Row],[CÓDIGO PRODUCTO]],INVENTARIOOFICINA[],3,FALSE),"-")</f>
        <v>LT021</v>
      </c>
      <c r="F12">
        <v>3</v>
      </c>
    </row>
    <row r="13" spans="1:6" x14ac:dyDescent="0.2">
      <c r="A13" s="13">
        <v>10</v>
      </c>
      <c r="B13" s="29">
        <v>45910</v>
      </c>
      <c r="C13" s="7" t="s">
        <v>723</v>
      </c>
      <c r="D13" s="7" t="str">
        <f>IFERROR(VLOOKUP(SALIDASOF[[#This Row],[CÓDIGO PRODUCTO]],INVENTARIOOFICINA[],2,FALSE),"-")</f>
        <v>SELLO MECÁNICO VILTER 440</v>
      </c>
      <c r="E13" s="7" t="str">
        <f>IFERROR(VLOOKUP(SALIDASOF[[#This Row],[CÓDIGO PRODUCTO]],INVENTARIOOFICINA[],3,FALSE),"-")</f>
        <v>LT020</v>
      </c>
      <c r="F13">
        <v>1</v>
      </c>
    </row>
    <row r="14" spans="1:6" x14ac:dyDescent="0.2">
      <c r="A14" s="13">
        <v>11</v>
      </c>
      <c r="B14" s="29">
        <v>45918</v>
      </c>
      <c r="C14" s="7" t="s">
        <v>680</v>
      </c>
      <c r="D14" s="7" t="str">
        <f>IFERROR(VLOOKUP(SALIDASOF[[#This Row],[CÓDIGO PRODUCTO]],INVENTARIOOFICINA[],2,FALSE),"-")</f>
        <v>KIT DE RODAMIENTO FRICK TDSL 193</v>
      </c>
      <c r="E14" s="7" t="str">
        <f>IFERROR(VLOOKUP(SALIDASOF[[#This Row],[CÓDIGO PRODUCTO]],INVENTARIOOFICINA[],3,FALSE),"-")</f>
        <v>LT017</v>
      </c>
      <c r="F14">
        <v>1</v>
      </c>
    </row>
    <row r="15" spans="1:6" x14ac:dyDescent="0.2">
      <c r="A15" s="13">
        <v>12</v>
      </c>
      <c r="B15" s="29" t="s">
        <v>791</v>
      </c>
      <c r="C15" s="7" t="s">
        <v>718</v>
      </c>
      <c r="D15" s="7" t="str">
        <f>IFERROR(VLOOKUP(SALIDASOF[[#This Row],[CÓDIGO PRODUCTO]],INVENTARIOOFICINA[],2,FALSE),"-")</f>
        <v>RODAMIENTO VILTER 450 XL</v>
      </c>
      <c r="E15" s="7" t="str">
        <f>IFERROR(VLOOKUP(SALIDASOF[[#This Row],[CÓDIGO PRODUCTO]],INVENTARIOOFICINA[],3,FALSE),"-")</f>
        <v>LT013</v>
      </c>
      <c r="F15">
        <v>1</v>
      </c>
    </row>
    <row r="16" spans="1:6" x14ac:dyDescent="0.2">
      <c r="A16" s="13">
        <v>13</v>
      </c>
      <c r="B16" s="29" t="s">
        <v>791</v>
      </c>
      <c r="C16" s="7" t="s">
        <v>709</v>
      </c>
      <c r="D16" s="7" t="str">
        <f>IFERROR(VLOOKUP(SALIDASOF[[#This Row],[CÓDIGO PRODUCTO]],INVENTARIOOFICINA[],2,FALSE),"-")</f>
        <v>RESORTE DE VÁLVULA VILTER</v>
      </c>
      <c r="E16" s="7" t="str">
        <f>IFERROR(VLOOKUP(SALIDASOF[[#This Row],[CÓDIGO PRODUCTO]],INVENTARIOOFICINA[],3,FALSE),"-")</f>
        <v>LT009</v>
      </c>
      <c r="F16">
        <v>3</v>
      </c>
    </row>
    <row r="17" spans="1:6" x14ac:dyDescent="0.2">
      <c r="A17" s="13">
        <v>14</v>
      </c>
      <c r="B17" s="29" t="s">
        <v>791</v>
      </c>
      <c r="C17" s="7" t="s">
        <v>702</v>
      </c>
      <c r="D17" s="7" t="str">
        <f>IFERROR(VLOOKUP(SALIDASOF[[#This Row],[CÓDIGO PRODUCTO]],INVENTARIOOFICINA[],2,FALSE),"-")</f>
        <v>PISTÓN Y BULÓN VILTER</v>
      </c>
      <c r="E17" s="7" t="str">
        <f>IFERROR(VLOOKUP(SALIDASOF[[#This Row],[CÓDIGO PRODUCTO]],INVENTARIOOFICINA[],3,FALSE),"-")</f>
        <v>LT008</v>
      </c>
      <c r="F17">
        <v>1</v>
      </c>
    </row>
    <row r="18" spans="1:6" x14ac:dyDescent="0.2">
      <c r="A18" s="13">
        <v>15</v>
      </c>
      <c r="B18" s="29">
        <v>46002</v>
      </c>
      <c r="C18" s="7" t="s">
        <v>770</v>
      </c>
      <c r="D18" s="7" t="str">
        <f>IFERROR(VLOOKUP(SALIDASOF[[#This Row],[CÓDIGO PRODUCTO]],INVENTARIOOFICINA[],2,FALSE),"-")</f>
        <v>VÁLVULA DE SEGURIDAD HENRY 250 PSI</v>
      </c>
      <c r="E18" s="7" t="str">
        <f>IFERROR(VLOOKUP(SALIDASOF[[#This Row],[CÓDIGO PRODUCTO]],INVENTARIOOFICINA[],3,FALSE),"-")</f>
        <v>LT002</v>
      </c>
      <c r="F18">
        <v>4</v>
      </c>
    </row>
    <row r="19" spans="1:6" x14ac:dyDescent="0.2">
      <c r="A19" s="13">
        <v>16</v>
      </c>
      <c r="B19" s="29"/>
      <c r="C19" s="7"/>
      <c r="D19" s="7" t="str">
        <f>IFERROR(VLOOKUP(SALIDASOF[[#This Row],[CÓDIGO PRODUCTO]],INVENTARIOOFICINA[],2,FALSE),"-")</f>
        <v>-</v>
      </c>
      <c r="E19" s="7" t="str">
        <f>IFERROR(VLOOKUP(SALIDASOF[[#This Row],[CÓDIGO PRODUCTO]],INVENTARIOOFICINA[],3,FALSE),"-")</f>
        <v>-</v>
      </c>
    </row>
    <row r="20" spans="1:6" x14ac:dyDescent="0.2">
      <c r="A20" s="13">
        <v>17</v>
      </c>
      <c r="B20" s="29">
        <v>45918</v>
      </c>
      <c r="C20" s="7"/>
      <c r="D20" s="7" t="str">
        <f>IFERROR(VLOOKUP(SALIDASOF[[#This Row],[CÓDIGO PRODUCTO]],INVENTARIOOFICINA[],2,FALSE),"-")</f>
        <v>-</v>
      </c>
      <c r="E20" s="7" t="str">
        <f>IFERROR(VLOOKUP(SALIDASOF[[#This Row],[CÓDIGO PRODUCTO]],INVENTARIOOFICINA[],3,FALSE),"-")</f>
        <v>-</v>
      </c>
    </row>
    <row r="21" spans="1:6" x14ac:dyDescent="0.2">
      <c r="A21" s="13">
        <v>18</v>
      </c>
      <c r="B21" s="29">
        <v>45918</v>
      </c>
      <c r="C21" s="7"/>
      <c r="D21" s="7" t="str">
        <f>IFERROR(VLOOKUP(SALIDASOF[[#This Row],[CÓDIGO PRODUCTO]],INVENTARIOOFICINA[],2,FALSE),"-")</f>
        <v>-</v>
      </c>
      <c r="E21" s="7" t="str">
        <f>IFERROR(VLOOKUP(SALIDASOF[[#This Row],[CÓDIGO PRODUCTO]],INVENTARIOOFICINA[],3,FALSE),"-")</f>
        <v>-</v>
      </c>
    </row>
    <row r="22" spans="1:6" x14ac:dyDescent="0.2">
      <c r="A22" s="13">
        <v>19</v>
      </c>
      <c r="B22" s="29">
        <v>45918</v>
      </c>
      <c r="C22" s="7"/>
      <c r="D22" s="7" t="str">
        <f>IFERROR(VLOOKUP(SALIDASOF[[#This Row],[CÓDIGO PRODUCTO]],INVENTARIOOFICINA[],2,FALSE),"-")</f>
        <v>-</v>
      </c>
      <c r="E22" s="7" t="str">
        <f>IFERROR(VLOOKUP(SALIDASOF[[#This Row],[CÓDIGO PRODUCTO]],INVENTARIOOFICINA[],3,FALSE),"-")</f>
        <v>-</v>
      </c>
    </row>
    <row r="23" spans="1:6" x14ac:dyDescent="0.2">
      <c r="A23" s="13">
        <v>20</v>
      </c>
      <c r="B23" s="29">
        <v>45918</v>
      </c>
      <c r="C23" s="7"/>
      <c r="D23" s="7" t="str">
        <f>IFERROR(VLOOKUP(SALIDASOF[[#This Row],[CÓDIGO PRODUCTO]],INVENTARIOOFICINA[],2,FALSE),"-")</f>
        <v>-</v>
      </c>
      <c r="E23" s="7" t="str">
        <f>IFERROR(VLOOKUP(SALIDASOF[[#This Row],[CÓDIGO PRODUCTO]],INVENTARIOOFICINA[],3,FALSE),"-")</f>
        <v>-</v>
      </c>
    </row>
    <row r="24" spans="1:6" x14ac:dyDescent="0.2">
      <c r="A24" s="13">
        <v>21</v>
      </c>
      <c r="B24" s="29">
        <v>45918</v>
      </c>
      <c r="C24" s="7"/>
      <c r="D24" s="7" t="str">
        <f>IFERROR(VLOOKUP(SALIDASOF[[#This Row],[CÓDIGO PRODUCTO]],INVENTARIOOFICINA[],2,FALSE),"-")</f>
        <v>-</v>
      </c>
      <c r="E24" s="7" t="str">
        <f>IFERROR(VLOOKUP(SALIDASOF[[#This Row],[CÓDIGO PRODUCTO]],INVENTARIOOFICINA[],3,FALSE),"-")</f>
        <v>-</v>
      </c>
    </row>
    <row r="25" spans="1:6" x14ac:dyDescent="0.2">
      <c r="A25" s="13">
        <v>22</v>
      </c>
      <c r="B25" s="29">
        <v>45918</v>
      </c>
      <c r="C25" s="7"/>
      <c r="D25" s="7" t="str">
        <f>IFERROR(VLOOKUP(SALIDASOF[[#This Row],[CÓDIGO PRODUCTO]],INVENTARIOOFICINA[],2,FALSE),"-")</f>
        <v>-</v>
      </c>
      <c r="E25" s="7" t="str">
        <f>IFERROR(VLOOKUP(SALIDASOF[[#This Row],[CÓDIGO PRODUCTO]],INVENTARIOOFICINA[],3,FALSE),"-")</f>
        <v>-</v>
      </c>
    </row>
    <row r="26" spans="1:6" x14ac:dyDescent="0.2">
      <c r="A26" s="13">
        <v>23</v>
      </c>
      <c r="B26" s="29">
        <v>45918</v>
      </c>
      <c r="C26" s="7"/>
      <c r="D26" s="7" t="str">
        <f>IFERROR(VLOOKUP(SALIDASOF[[#This Row],[CÓDIGO PRODUCTO]],INVENTARIOOFICINA[],2,FALSE),"-")</f>
        <v>-</v>
      </c>
      <c r="E26" s="7" t="str">
        <f>IFERROR(VLOOKUP(SALIDASOF[[#This Row],[CÓDIGO PRODUCTO]],INVENTARIOOFICINA[],3,FALSE),"-")</f>
        <v>-</v>
      </c>
    </row>
    <row r="27" spans="1:6" x14ac:dyDescent="0.2">
      <c r="A27" s="13">
        <v>24</v>
      </c>
      <c r="B27" s="29">
        <v>45918</v>
      </c>
      <c r="C27" s="7"/>
      <c r="D27" s="7" t="str">
        <f>IFERROR(VLOOKUP(SALIDASOF[[#This Row],[CÓDIGO PRODUCTO]],INVENTARIOOFICINA[],2,FALSE),"-")</f>
        <v>-</v>
      </c>
      <c r="E27" s="7" t="str">
        <f>IFERROR(VLOOKUP(SALIDASOF[[#This Row],[CÓDIGO PRODUCTO]],INVENTARIOOFICINA[],3,FALSE),"-")</f>
        <v>-</v>
      </c>
    </row>
    <row r="28" spans="1:6" x14ac:dyDescent="0.2">
      <c r="A28" s="13">
        <v>25</v>
      </c>
      <c r="B28" s="29">
        <v>45918</v>
      </c>
      <c r="C28" s="7"/>
      <c r="D28" s="7" t="str">
        <f>IFERROR(VLOOKUP(SALIDASOF[[#This Row],[CÓDIGO PRODUCTO]],INVENTARIOOFICINA[],2,FALSE),"-")</f>
        <v>-</v>
      </c>
      <c r="E28" s="7" t="str">
        <f>IFERROR(VLOOKUP(SALIDASOF[[#This Row],[CÓDIGO PRODUCTO]],INVENTARIOOFICINA[],3,FALSE),"-")</f>
        <v>-</v>
      </c>
    </row>
    <row r="29" spans="1:6" x14ac:dyDescent="0.2">
      <c r="A29" s="13">
        <v>26</v>
      </c>
      <c r="B29" s="29">
        <v>45918</v>
      </c>
      <c r="C29" s="7"/>
      <c r="D29" s="7" t="str">
        <f>IFERROR(VLOOKUP(SALIDASOF[[#This Row],[CÓDIGO PRODUCTO]],INVENTARIOOFICINA[],2,FALSE),"-")</f>
        <v>-</v>
      </c>
      <c r="E29" s="7" t="str">
        <f>IFERROR(VLOOKUP(SALIDASOF[[#This Row],[CÓDIGO PRODUCTO]],INVENTARIOOFICINA[],3,FALSE),"-")</f>
        <v>-</v>
      </c>
    </row>
    <row r="30" spans="1:6" x14ac:dyDescent="0.2">
      <c r="A30" s="13">
        <v>27</v>
      </c>
      <c r="B30" s="29">
        <v>45918</v>
      </c>
      <c r="C30" s="7"/>
      <c r="D30" s="7" t="str">
        <f>IFERROR(VLOOKUP(SALIDASOF[[#This Row],[CÓDIGO PRODUCTO]],INVENTARIOOFICINA[],2,FALSE),"-")</f>
        <v>-</v>
      </c>
      <c r="E30" s="7" t="str">
        <f>IFERROR(VLOOKUP(SALIDASOF[[#This Row],[CÓDIGO PRODUCTO]],INVENTARIOOFICINA[],3,FALSE),"-")</f>
        <v>-</v>
      </c>
    </row>
    <row r="31" spans="1:6" x14ac:dyDescent="0.2">
      <c r="A31" s="13">
        <v>28</v>
      </c>
      <c r="B31" s="29">
        <v>45918</v>
      </c>
      <c r="C31" s="7"/>
      <c r="D31" s="7" t="str">
        <f>IFERROR(VLOOKUP(SALIDASOF[[#This Row],[CÓDIGO PRODUCTO]],INVENTARIOOFICINA[],2,FALSE),"-")</f>
        <v>-</v>
      </c>
      <c r="E31" s="7" t="str">
        <f>IFERROR(VLOOKUP(SALIDASOF[[#This Row],[CÓDIGO PRODUCTO]],INVENTARIOOFICINA[],3,FALSE),"-")</f>
        <v>-</v>
      </c>
    </row>
    <row r="32" spans="1:6" x14ac:dyDescent="0.2">
      <c r="A32" s="13">
        <v>29</v>
      </c>
      <c r="B32" s="29">
        <v>45918</v>
      </c>
      <c r="C32" s="7"/>
      <c r="D32" s="7" t="str">
        <f>IFERROR(VLOOKUP(SALIDASOF[[#This Row],[CÓDIGO PRODUCTO]],INVENTARIOOFICINA[],2,FALSE),"-")</f>
        <v>-</v>
      </c>
      <c r="E32" s="7" t="str">
        <f>IFERROR(VLOOKUP(SALIDASOF[[#This Row],[CÓDIGO PRODUCTO]],INVENTARIOOFICINA[],3,FALSE),"-")</f>
        <v>-</v>
      </c>
    </row>
    <row r="33" spans="1:5" x14ac:dyDescent="0.2">
      <c r="A33" s="13">
        <v>30</v>
      </c>
      <c r="B33" s="29">
        <v>45918</v>
      </c>
      <c r="C33" s="7"/>
      <c r="D33" s="7" t="str">
        <f>IFERROR(VLOOKUP(SALIDASOF[[#This Row],[CÓDIGO PRODUCTO]],INVENTARIOOFICINA[],2,FALSE),"-")</f>
        <v>-</v>
      </c>
      <c r="E33" s="7" t="str">
        <f>IFERROR(VLOOKUP(SALIDASOF[[#This Row],[CÓDIGO PRODUCTO]],INVENTARIOOFICINA[],3,FALSE),"-")</f>
        <v>-</v>
      </c>
    </row>
    <row r="34" spans="1:5" x14ac:dyDescent="0.2">
      <c r="A34" s="13">
        <v>31</v>
      </c>
      <c r="B34" s="29">
        <v>45918</v>
      </c>
      <c r="C34" s="7"/>
      <c r="D34" s="7" t="str">
        <f>IFERROR(VLOOKUP(SALIDASOF[[#This Row],[CÓDIGO PRODUCTO]],INVENTARIOOFICINA[],2,FALSE),"-")</f>
        <v>-</v>
      </c>
      <c r="E34" s="7" t="str">
        <f>IFERROR(VLOOKUP(SALIDASOF[[#This Row],[CÓDIGO PRODUCTO]],INVENTARIOOFICINA[],3,FALSE),"-")</f>
        <v>-</v>
      </c>
    </row>
    <row r="35" spans="1:5" x14ac:dyDescent="0.2">
      <c r="A35" s="13">
        <v>32</v>
      </c>
      <c r="B35" s="29">
        <v>45918</v>
      </c>
      <c r="C35" s="7"/>
      <c r="D35" s="7" t="str">
        <f>IFERROR(VLOOKUP(SALIDASOF[[#This Row],[CÓDIGO PRODUCTO]],INVENTARIOOFICINA[],2,FALSE),"-")</f>
        <v>-</v>
      </c>
      <c r="E35" s="7" t="str">
        <f>IFERROR(VLOOKUP(SALIDASOF[[#This Row],[CÓDIGO PRODUCTO]],INVENTARIOOFICINA[],3,FALSE),"-")</f>
        <v>-</v>
      </c>
    </row>
    <row r="36" spans="1:5" x14ac:dyDescent="0.2">
      <c r="A36" s="13">
        <v>33</v>
      </c>
      <c r="B36" s="29">
        <v>45918</v>
      </c>
      <c r="C36" s="7"/>
      <c r="D36" s="7" t="str">
        <f>IFERROR(VLOOKUP(SALIDASOF[[#This Row],[CÓDIGO PRODUCTO]],INVENTARIOOFICINA[],2,FALSE),"-")</f>
        <v>-</v>
      </c>
      <c r="E36" s="7" t="str">
        <f>IFERROR(VLOOKUP(SALIDASOF[[#This Row],[CÓDIGO PRODUCTO]],INVENTARIOOFICINA[],3,FALSE),"-")</f>
        <v>-</v>
      </c>
    </row>
    <row r="37" spans="1:5" x14ac:dyDescent="0.2">
      <c r="A37" s="13">
        <v>34</v>
      </c>
      <c r="B37" s="29">
        <v>45918</v>
      </c>
      <c r="C37" s="7"/>
      <c r="D37" s="7" t="str">
        <f>IFERROR(VLOOKUP(SALIDASOF[[#This Row],[CÓDIGO PRODUCTO]],INVENTARIOOFICINA[],2,FALSE),"-")</f>
        <v>-</v>
      </c>
      <c r="E37" s="7" t="str">
        <f>IFERROR(VLOOKUP(SALIDASOF[[#This Row],[CÓDIGO PRODUCTO]],INVENTARIOOFICINA[],3,FALSE),"-")</f>
        <v>-</v>
      </c>
    </row>
    <row r="38" spans="1:5" x14ac:dyDescent="0.2">
      <c r="A38" s="13">
        <v>35</v>
      </c>
      <c r="B38" s="29">
        <v>45918</v>
      </c>
      <c r="C38" s="7"/>
      <c r="D38" s="7" t="str">
        <f>IFERROR(VLOOKUP(SALIDASOF[[#This Row],[CÓDIGO PRODUCTO]],INVENTARIOOFICINA[],2,FALSE),"-")</f>
        <v>-</v>
      </c>
      <c r="E38" s="7" t="str">
        <f>IFERROR(VLOOKUP(SALIDASOF[[#This Row],[CÓDIGO PRODUCTO]],INVENTARIOOFICINA[],3,FALSE),"-")</f>
        <v>-</v>
      </c>
    </row>
    <row r="39" spans="1:5" x14ac:dyDescent="0.2">
      <c r="A39" s="13">
        <v>36</v>
      </c>
      <c r="B39" s="29">
        <v>45918</v>
      </c>
      <c r="C39" s="7"/>
      <c r="D39" s="7" t="str">
        <f>IFERROR(VLOOKUP(SALIDASOF[[#This Row],[CÓDIGO PRODUCTO]],INVENTARIOOFICINA[],2,FALSE),"-")</f>
        <v>-</v>
      </c>
      <c r="E39" s="7" t="str">
        <f>IFERROR(VLOOKUP(SALIDASOF[[#This Row],[CÓDIGO PRODUCTO]],INVENTARIOOFICINA[],3,FALSE),"-")</f>
        <v>-</v>
      </c>
    </row>
    <row r="40" spans="1:5" x14ac:dyDescent="0.2">
      <c r="A40" s="13">
        <v>37</v>
      </c>
      <c r="B40" s="29">
        <v>45918</v>
      </c>
      <c r="C40" s="7"/>
      <c r="D40" s="7" t="str">
        <f>IFERROR(VLOOKUP(SALIDASOF[[#This Row],[CÓDIGO PRODUCTO]],INVENTARIOOFICINA[],2,FALSE),"-")</f>
        <v>-</v>
      </c>
      <c r="E40" s="7" t="str">
        <f>IFERROR(VLOOKUP(SALIDASOF[[#This Row],[CÓDIGO PRODUCTO]],INVENTARIOOFICINA[],3,FALSE),"-")</f>
        <v>-</v>
      </c>
    </row>
    <row r="41" spans="1:5" x14ac:dyDescent="0.2">
      <c r="A41" s="13">
        <v>38</v>
      </c>
      <c r="B41" s="29">
        <v>45918</v>
      </c>
      <c r="C41" s="7"/>
      <c r="D41" s="7" t="str">
        <f>IFERROR(VLOOKUP(SALIDASOF[[#This Row],[CÓDIGO PRODUCTO]],INVENTARIOOFICINA[],2,FALSE),"-")</f>
        <v>-</v>
      </c>
      <c r="E41" s="7" t="str">
        <f>IFERROR(VLOOKUP(SALIDASOF[[#This Row],[CÓDIGO PRODUCTO]],INVENTARIOOFICINA[],3,FALSE),"-")</f>
        <v>-</v>
      </c>
    </row>
    <row r="42" spans="1:5" x14ac:dyDescent="0.2">
      <c r="A42" s="13">
        <v>39</v>
      </c>
      <c r="B42" s="29">
        <v>45918</v>
      </c>
      <c r="C42" s="7"/>
      <c r="D42" s="7" t="str">
        <f>IFERROR(VLOOKUP(SALIDASOF[[#This Row],[CÓDIGO PRODUCTO]],INVENTARIOOFICINA[],2,FALSE),"-")</f>
        <v>-</v>
      </c>
      <c r="E42" s="7" t="str">
        <f>IFERROR(VLOOKUP(SALIDASOF[[#This Row],[CÓDIGO PRODUCTO]],INVENTARIOOFICINA[],3,FALSE),"-")</f>
        <v>-</v>
      </c>
    </row>
    <row r="43" spans="1:5" x14ac:dyDescent="0.2">
      <c r="A43" s="13">
        <v>40</v>
      </c>
      <c r="B43" s="29">
        <v>45918</v>
      </c>
      <c r="C43" s="7"/>
      <c r="D43" s="7" t="str">
        <f>IFERROR(VLOOKUP(SALIDASOF[[#This Row],[CÓDIGO PRODUCTO]],INVENTARIOOFICINA[],2,FALSE),"-")</f>
        <v>-</v>
      </c>
      <c r="E43" s="7" t="str">
        <f>IFERROR(VLOOKUP(SALIDASOF[[#This Row],[CÓDIGO PRODUCTO]],INVENTARIOOFICINA[],3,FALSE),"-")</f>
        <v>-</v>
      </c>
    </row>
    <row r="44" spans="1:5" x14ac:dyDescent="0.2">
      <c r="A44" s="13">
        <v>41</v>
      </c>
      <c r="B44" s="29">
        <v>45918</v>
      </c>
      <c r="C44" s="7"/>
      <c r="D44" s="7" t="str">
        <f>IFERROR(VLOOKUP(SALIDASOF[[#This Row],[CÓDIGO PRODUCTO]],INVENTARIOOFICINA[],2,FALSE),"-")</f>
        <v>-</v>
      </c>
      <c r="E44" s="7" t="str">
        <f>IFERROR(VLOOKUP(SALIDASOF[[#This Row],[CÓDIGO PRODUCTO]],INVENTARIOOFICINA[],3,FALSE),"-")</f>
        <v>-</v>
      </c>
    </row>
    <row r="45" spans="1:5" x14ac:dyDescent="0.2">
      <c r="A45" s="13">
        <v>42</v>
      </c>
      <c r="B45" s="29">
        <v>45918</v>
      </c>
      <c r="C45" s="7"/>
      <c r="D45" s="7" t="str">
        <f>IFERROR(VLOOKUP(SALIDASOF[[#This Row],[CÓDIGO PRODUCTO]],INVENTARIOOFICINA[],2,FALSE),"-")</f>
        <v>-</v>
      </c>
      <c r="E45" s="7" t="str">
        <f>IFERROR(VLOOKUP(SALIDASOF[[#This Row],[CÓDIGO PRODUCTO]],INVENTARIOOFICINA[],3,FALSE),"-")</f>
        <v>-</v>
      </c>
    </row>
    <row r="46" spans="1:5" x14ac:dyDescent="0.2">
      <c r="A46" s="13">
        <v>43</v>
      </c>
      <c r="B46" s="29">
        <v>45918</v>
      </c>
      <c r="C46" s="7"/>
      <c r="D46" s="7" t="str">
        <f>IFERROR(VLOOKUP(SALIDASOF[[#This Row],[CÓDIGO PRODUCTO]],INVENTARIOOFICINA[],2,FALSE),"-")</f>
        <v>-</v>
      </c>
      <c r="E46" s="7" t="str">
        <f>IFERROR(VLOOKUP(SALIDASOF[[#This Row],[CÓDIGO PRODUCTO]],INVENTARIOOFICINA[],3,FALSE),"-")</f>
        <v>-</v>
      </c>
    </row>
    <row r="47" spans="1:5" x14ac:dyDescent="0.2">
      <c r="A47" s="13">
        <v>44</v>
      </c>
      <c r="B47" s="29">
        <v>45918</v>
      </c>
      <c r="C47" s="7"/>
      <c r="D47" s="7" t="str">
        <f>IFERROR(VLOOKUP(SALIDASOF[[#This Row],[CÓDIGO PRODUCTO]],INVENTARIOOFICINA[],2,FALSE),"-")</f>
        <v>-</v>
      </c>
      <c r="E47" s="7" t="str">
        <f>IFERROR(VLOOKUP(SALIDASOF[[#This Row],[CÓDIGO PRODUCTO]],INVENTARIOOFICINA[],3,FALSE),"-")</f>
        <v>-</v>
      </c>
    </row>
    <row r="48" spans="1:5" x14ac:dyDescent="0.2">
      <c r="A48" s="13">
        <v>45</v>
      </c>
      <c r="B48" s="29">
        <v>45918</v>
      </c>
      <c r="C48" s="7"/>
      <c r="D48" s="7" t="str">
        <f>IFERROR(VLOOKUP(SALIDASOF[[#This Row],[CÓDIGO PRODUCTO]],INVENTARIOOFICINA[],2,FALSE),"-")</f>
        <v>-</v>
      </c>
      <c r="E48" s="7" t="str">
        <f>IFERROR(VLOOKUP(SALIDASOF[[#This Row],[CÓDIGO PRODUCTO]],INVENTARIOOFICINA[],3,FALSE),"-")</f>
        <v>-</v>
      </c>
    </row>
    <row r="49" spans="1:5" x14ac:dyDescent="0.2">
      <c r="A49" s="13">
        <v>46</v>
      </c>
      <c r="B49" s="29">
        <v>45918</v>
      </c>
      <c r="C49" s="7"/>
      <c r="D49" s="7" t="str">
        <f>IFERROR(VLOOKUP(SALIDASOF[[#This Row],[CÓDIGO PRODUCTO]],INVENTARIOOFICINA[],2,FALSE),"-")</f>
        <v>-</v>
      </c>
      <c r="E49" s="7" t="str">
        <f>IFERROR(VLOOKUP(SALIDASOF[[#This Row],[CÓDIGO PRODUCTO]],INVENTARIOOFICINA[],3,FALSE),"-")</f>
        <v>-</v>
      </c>
    </row>
    <row r="50" spans="1:5" x14ac:dyDescent="0.2">
      <c r="A50" s="13">
        <v>47</v>
      </c>
      <c r="B50" s="29">
        <v>45918</v>
      </c>
      <c r="C50" s="7"/>
      <c r="D50" s="7" t="str">
        <f>IFERROR(VLOOKUP(SALIDASOF[[#This Row],[CÓDIGO PRODUCTO]],INVENTARIOOFICINA[],2,FALSE),"-")</f>
        <v>-</v>
      </c>
      <c r="E50" s="7" t="str">
        <f>IFERROR(VLOOKUP(SALIDASOF[[#This Row],[CÓDIGO PRODUCTO]],INVENTARIOOFICINA[],3,FALSE),"-")</f>
        <v>-</v>
      </c>
    </row>
    <row r="51" spans="1:5" x14ac:dyDescent="0.2">
      <c r="A51" s="13">
        <v>48</v>
      </c>
      <c r="B51" s="29">
        <v>45918</v>
      </c>
      <c r="C51" s="7"/>
      <c r="D51" s="7" t="str">
        <f>IFERROR(VLOOKUP(SALIDASOF[[#This Row],[CÓDIGO PRODUCTO]],INVENTARIOOFICINA[],2,FALSE),"-")</f>
        <v>-</v>
      </c>
      <c r="E51" s="7" t="str">
        <f>IFERROR(VLOOKUP(SALIDASOF[[#This Row],[CÓDIGO PRODUCTO]],INVENTARIOOFICINA[],3,FALSE),"-")</f>
        <v>-</v>
      </c>
    </row>
    <row r="52" spans="1:5" x14ac:dyDescent="0.2">
      <c r="A52" s="13">
        <v>49</v>
      </c>
      <c r="B52" s="29">
        <v>45918</v>
      </c>
      <c r="C52" s="7"/>
      <c r="D52" s="7" t="str">
        <f>IFERROR(VLOOKUP(SALIDASOF[[#This Row],[CÓDIGO PRODUCTO]],INVENTARIOOFICINA[],2,FALSE),"-")</f>
        <v>-</v>
      </c>
      <c r="E52" s="7" t="str">
        <f>IFERROR(VLOOKUP(SALIDASOF[[#This Row],[CÓDIGO PRODUCTO]],INVENTARIOOFICINA[],3,FALSE),"-")</f>
        <v>-</v>
      </c>
    </row>
    <row r="53" spans="1:5" x14ac:dyDescent="0.2">
      <c r="A53" s="13">
        <v>50</v>
      </c>
      <c r="B53" s="29">
        <v>45918</v>
      </c>
      <c r="C53" s="7"/>
      <c r="D53" s="7" t="str">
        <f>IFERROR(VLOOKUP(SALIDASOF[[#This Row],[CÓDIGO PRODUCTO]],INVENTARIOOFICINA[],2,FALSE),"-")</f>
        <v>-</v>
      </c>
      <c r="E53" s="7" t="str">
        <f>IFERROR(VLOOKUP(SALIDASOF[[#This Row],[CÓDIGO PRODUCTO]],INVENTARIOOFICINA[],3,FALSE),"-")</f>
        <v>-</v>
      </c>
    </row>
    <row r="54" spans="1:5" x14ac:dyDescent="0.2">
      <c r="A54" s="13">
        <v>51</v>
      </c>
      <c r="B54" s="29">
        <v>45918</v>
      </c>
      <c r="C54" s="7"/>
      <c r="D54" s="7" t="str">
        <f>IFERROR(VLOOKUP(SALIDASOF[[#This Row],[CÓDIGO PRODUCTO]],INVENTARIOOFICINA[],2,FALSE),"-")</f>
        <v>-</v>
      </c>
      <c r="E54" s="7" t="str">
        <f>IFERROR(VLOOKUP(SALIDASOF[[#This Row],[CÓDIGO PRODUCTO]],INVENTARIOOFICINA[],3,FALSE),"-")</f>
        <v>-</v>
      </c>
    </row>
    <row r="55" spans="1:5" x14ac:dyDescent="0.2">
      <c r="A55" s="13">
        <v>52</v>
      </c>
      <c r="B55" s="29">
        <v>45918</v>
      </c>
      <c r="C55" s="7"/>
      <c r="D55" s="7" t="str">
        <f>IFERROR(VLOOKUP(SALIDASOF[[#This Row],[CÓDIGO PRODUCTO]],INVENTARIOOFICINA[],2,FALSE),"-")</f>
        <v>-</v>
      </c>
      <c r="E55" s="7" t="str">
        <f>IFERROR(VLOOKUP(SALIDASOF[[#This Row],[CÓDIGO PRODUCTO]],INVENTARIOOFICINA[],3,FALSE),"-")</f>
        <v>-</v>
      </c>
    </row>
    <row r="56" spans="1:5" x14ac:dyDescent="0.2">
      <c r="A56" s="13">
        <v>53</v>
      </c>
      <c r="B56" s="29">
        <v>45918</v>
      </c>
      <c r="C56" s="7"/>
      <c r="D56" s="7" t="str">
        <f>IFERROR(VLOOKUP(SALIDASOF[[#This Row],[CÓDIGO PRODUCTO]],INVENTARIOOFICINA[],2,FALSE),"-")</f>
        <v>-</v>
      </c>
      <c r="E56" s="7" t="str">
        <f>IFERROR(VLOOKUP(SALIDASOF[[#This Row],[CÓDIGO PRODUCTO]],INVENTARIOOFICINA[],3,FALSE),"-")</f>
        <v>-</v>
      </c>
    </row>
    <row r="57" spans="1:5" x14ac:dyDescent="0.2">
      <c r="A57" s="13">
        <v>54</v>
      </c>
      <c r="B57" s="29">
        <v>45918</v>
      </c>
      <c r="C57" s="7"/>
      <c r="D57" s="7" t="str">
        <f>IFERROR(VLOOKUP(SALIDASOF[[#This Row],[CÓDIGO PRODUCTO]],INVENTARIOOFICINA[],2,FALSE),"-")</f>
        <v>-</v>
      </c>
      <c r="E57" s="7" t="str">
        <f>IFERROR(VLOOKUP(SALIDASOF[[#This Row],[CÓDIGO PRODUCTO]],INVENTARIOOFICINA[],3,FALSE),"-")</f>
        <v>-</v>
      </c>
    </row>
    <row r="58" spans="1:5" x14ac:dyDescent="0.2">
      <c r="A58" s="13">
        <v>55</v>
      </c>
      <c r="B58" s="29">
        <v>45918</v>
      </c>
      <c r="C58" s="7"/>
      <c r="D58" s="7" t="str">
        <f>IFERROR(VLOOKUP(SALIDASOF[[#This Row],[CÓDIGO PRODUCTO]],INVENTARIOOFICINA[],2,FALSE),"-")</f>
        <v>-</v>
      </c>
      <c r="E58" s="7" t="str">
        <f>IFERROR(VLOOKUP(SALIDASOF[[#This Row],[CÓDIGO PRODUCTO]],INVENTARIOOFICINA[],3,FALSE),"-")</f>
        <v>-</v>
      </c>
    </row>
    <row r="59" spans="1:5" x14ac:dyDescent="0.2">
      <c r="A59" s="13">
        <v>56</v>
      </c>
      <c r="B59" s="29">
        <v>45918</v>
      </c>
      <c r="C59" s="7"/>
      <c r="D59" s="7" t="str">
        <f>IFERROR(VLOOKUP(SALIDASOF[[#This Row],[CÓDIGO PRODUCTO]],INVENTARIOOFICINA[],2,FALSE),"-")</f>
        <v>-</v>
      </c>
      <c r="E59" s="7" t="str">
        <f>IFERROR(VLOOKUP(SALIDASOF[[#This Row],[CÓDIGO PRODUCTO]],INVENTARIOOFICINA[],3,FALSE),"-")</f>
        <v>-</v>
      </c>
    </row>
    <row r="60" spans="1:5" x14ac:dyDescent="0.2">
      <c r="A60" s="13">
        <v>57</v>
      </c>
      <c r="B60" s="29">
        <v>45918</v>
      </c>
      <c r="C60" s="7"/>
      <c r="D60" s="7" t="str">
        <f>IFERROR(VLOOKUP(SALIDASOF[[#This Row],[CÓDIGO PRODUCTO]],INVENTARIOOFICINA[],2,FALSE),"-")</f>
        <v>-</v>
      </c>
      <c r="E60" s="7" t="str">
        <f>IFERROR(VLOOKUP(SALIDASOF[[#This Row],[CÓDIGO PRODUCTO]],INVENTARIOOFICINA[],3,FALSE),"-")</f>
        <v>-</v>
      </c>
    </row>
    <row r="61" spans="1:5" x14ac:dyDescent="0.2">
      <c r="A61" s="13">
        <v>58</v>
      </c>
      <c r="B61" s="29">
        <v>45918</v>
      </c>
      <c r="C61" s="7"/>
      <c r="D61" s="7" t="str">
        <f>IFERROR(VLOOKUP(SALIDASOF[[#This Row],[CÓDIGO PRODUCTO]],INVENTARIOOFICINA[],2,FALSE),"-")</f>
        <v>-</v>
      </c>
      <c r="E61" s="7" t="str">
        <f>IFERROR(VLOOKUP(SALIDASOF[[#This Row],[CÓDIGO PRODUCTO]],INVENTARIOOFICINA[],3,FALSE),"-")</f>
        <v>-</v>
      </c>
    </row>
    <row r="62" spans="1:5" x14ac:dyDescent="0.2">
      <c r="A62" s="13">
        <v>59</v>
      </c>
      <c r="B62" s="29">
        <v>45918</v>
      </c>
      <c r="C62" s="7"/>
      <c r="D62" s="7" t="str">
        <f>IFERROR(VLOOKUP(SALIDASOF[[#This Row],[CÓDIGO PRODUCTO]],INVENTARIOOFICINA[],2,FALSE),"-")</f>
        <v>-</v>
      </c>
      <c r="E62" s="7" t="str">
        <f>IFERROR(VLOOKUP(SALIDASOF[[#This Row],[CÓDIGO PRODUCTO]],INVENTARIOOFICINA[],3,FALSE),"-")</f>
        <v>-</v>
      </c>
    </row>
    <row r="63" spans="1:5" x14ac:dyDescent="0.2">
      <c r="A63" s="13">
        <v>60</v>
      </c>
      <c r="B63" s="29">
        <v>45918</v>
      </c>
      <c r="C63" s="7"/>
      <c r="D63" s="7" t="str">
        <f>IFERROR(VLOOKUP(SALIDASOF[[#This Row],[CÓDIGO PRODUCTO]],INVENTARIOOFICINA[],2,FALSE),"-")</f>
        <v>-</v>
      </c>
      <c r="E63" s="7" t="str">
        <f>IFERROR(VLOOKUP(SALIDASOF[[#This Row],[CÓDIGO PRODUCTO]],INVENTARIOOFICINA[],3,FALSE),"-")</f>
        <v>-</v>
      </c>
    </row>
    <row r="64" spans="1:5" x14ac:dyDescent="0.2">
      <c r="A64" s="13">
        <v>61</v>
      </c>
      <c r="B64" s="29">
        <v>45918</v>
      </c>
      <c r="C64" s="7"/>
      <c r="D64" s="7" t="str">
        <f>IFERROR(VLOOKUP(SALIDASOF[[#This Row],[CÓDIGO PRODUCTO]],INVENTARIOOFICINA[],2,FALSE),"-")</f>
        <v>-</v>
      </c>
      <c r="E64" s="7" t="str">
        <f>IFERROR(VLOOKUP(SALIDASOF[[#This Row],[CÓDIGO PRODUCTO]],INVENTARIOOFICINA[],3,FALSE),"-")</f>
        <v>-</v>
      </c>
    </row>
    <row r="65" spans="1:6" x14ac:dyDescent="0.2">
      <c r="A65" s="13">
        <v>62</v>
      </c>
      <c r="B65" s="29">
        <v>45918</v>
      </c>
      <c r="C65" s="7"/>
      <c r="D65" s="7" t="str">
        <f>IFERROR(VLOOKUP(SALIDASOF[[#This Row],[CÓDIGO PRODUCTO]],INVENTARIOOFICINA[],2,FALSE),"-")</f>
        <v>-</v>
      </c>
      <c r="E65" s="7" t="str">
        <f>IFERROR(VLOOKUP(SALIDASOF[[#This Row],[CÓDIGO PRODUCTO]],INVENTARIOOFICINA[],3,FALSE),"-")</f>
        <v>-</v>
      </c>
    </row>
    <row r="66" spans="1:6" x14ac:dyDescent="0.2">
      <c r="A66" s="13">
        <v>63</v>
      </c>
      <c r="B66" s="29">
        <v>45918</v>
      </c>
      <c r="C66" s="7"/>
      <c r="D66" s="7" t="str">
        <f>IFERROR(VLOOKUP(SALIDASOF[[#This Row],[CÓDIGO PRODUCTO]],INVENTARIOOFICINA[],2,FALSE),"-")</f>
        <v>-</v>
      </c>
      <c r="E66" s="7" t="str">
        <f>IFERROR(VLOOKUP(SALIDASOF[[#This Row],[CÓDIGO PRODUCTO]],INVENTARIOOFICINA[],3,FALSE),"-")</f>
        <v>-</v>
      </c>
    </row>
    <row r="67" spans="1:6" x14ac:dyDescent="0.2">
      <c r="A67" s="13">
        <v>64</v>
      </c>
      <c r="B67" s="29">
        <v>45918</v>
      </c>
      <c r="C67" s="7"/>
      <c r="D67" s="7" t="str">
        <f>IFERROR(VLOOKUP(SALIDASOF[[#This Row],[CÓDIGO PRODUCTO]],INVENTARIOOFICINA[],2,FALSE),"-")</f>
        <v>-</v>
      </c>
      <c r="E67" s="7" t="str">
        <f>IFERROR(VLOOKUP(SALIDASOF[[#This Row],[CÓDIGO PRODUCTO]],INVENTARIOOFICINA[],3,FALSE),"-")</f>
        <v>-</v>
      </c>
    </row>
    <row r="68" spans="1:6" x14ac:dyDescent="0.2">
      <c r="A68" s="13">
        <v>65</v>
      </c>
      <c r="B68" s="29">
        <v>45918</v>
      </c>
      <c r="C68" s="7"/>
      <c r="D68" s="7" t="str">
        <f>IFERROR(VLOOKUP(SALIDASOF[[#This Row],[CÓDIGO PRODUCTO]],INVENTARIOOFICINA[],2,FALSE),"-")</f>
        <v>-</v>
      </c>
      <c r="E68" s="7" t="str">
        <f>IFERROR(VLOOKUP(SALIDASOF[[#This Row],[CÓDIGO PRODUCTO]],INVENTARIOOFICINA[],3,FALSE),"-")</f>
        <v>-</v>
      </c>
    </row>
    <row r="69" spans="1:6" x14ac:dyDescent="0.2">
      <c r="A69" s="13">
        <v>66</v>
      </c>
      <c r="B69" s="29">
        <v>45918</v>
      </c>
      <c r="C69" s="7"/>
      <c r="D69" s="7" t="str">
        <f>IFERROR(VLOOKUP(SALIDASOF[[#This Row],[CÓDIGO PRODUCTO]],INVENTARIOOFICINA[],2,FALSE),"-")</f>
        <v>-</v>
      </c>
      <c r="E69" s="7" t="str">
        <f>IFERROR(VLOOKUP(SALIDASOF[[#This Row],[CÓDIGO PRODUCTO]],INVENTARIOOFICINA[],3,FALSE),"-")</f>
        <v>-</v>
      </c>
    </row>
    <row r="70" spans="1:6" x14ac:dyDescent="0.2">
      <c r="A70" s="13">
        <v>67</v>
      </c>
      <c r="B70" s="29">
        <v>45918</v>
      </c>
      <c r="C70" s="7"/>
      <c r="D70" s="7" t="str">
        <f>IFERROR(VLOOKUP(SALIDASOF[[#This Row],[CÓDIGO PRODUCTO]],INVENTARIOOFICINA[],2,FALSE),"-")</f>
        <v>-</v>
      </c>
      <c r="E70" s="7" t="str">
        <f>IFERROR(VLOOKUP(SALIDASOF[[#This Row],[CÓDIGO PRODUCTO]],INVENTARIOOFICINA[],3,FALSE),"-")</f>
        <v>-</v>
      </c>
    </row>
    <row r="71" spans="1:6" x14ac:dyDescent="0.2">
      <c r="A71" s="13">
        <v>68</v>
      </c>
      <c r="B71" s="29">
        <v>45918</v>
      </c>
      <c r="C71" s="7"/>
      <c r="D71" s="7" t="str">
        <f>IFERROR(VLOOKUP(SALIDASOF[[#This Row],[CÓDIGO PRODUCTO]],INVENTARIOOFICINA[],2,FALSE),"-")</f>
        <v>-</v>
      </c>
      <c r="E71" s="7" t="str">
        <f>IFERROR(VLOOKUP(SALIDASOF[[#This Row],[CÓDIGO PRODUCTO]],INVENTARIOOFICINA[],3,FALSE),"-")</f>
        <v>-</v>
      </c>
    </row>
    <row r="72" spans="1:6" x14ac:dyDescent="0.2">
      <c r="A72" s="13">
        <v>69</v>
      </c>
      <c r="B72" s="29">
        <v>45918</v>
      </c>
      <c r="C72" s="7"/>
      <c r="D72" s="7" t="str">
        <f>IFERROR(VLOOKUP(SALIDASOF[[#This Row],[CÓDIGO PRODUCTO]],INVENTARIOOFICINA[],2,FALSE),"-")</f>
        <v>-</v>
      </c>
      <c r="E72" s="7" t="str">
        <f>IFERROR(VLOOKUP(SALIDASOF[[#This Row],[CÓDIGO PRODUCTO]],INVENTARIOOFICINA[],3,FALSE),"-")</f>
        <v>-</v>
      </c>
    </row>
    <row r="73" spans="1:6" x14ac:dyDescent="0.2">
      <c r="A73" s="13">
        <v>70</v>
      </c>
      <c r="B73" s="29">
        <v>45918</v>
      </c>
      <c r="C73" s="7"/>
      <c r="D73" s="7" t="str">
        <f>IFERROR(VLOOKUP(SALIDASOF[[#This Row],[CÓDIGO PRODUCTO]],INVENTARIOOFICINA[],2,FALSE),"-")</f>
        <v>-</v>
      </c>
      <c r="E73" s="7" t="str">
        <f>IFERROR(VLOOKUP(SALIDASOF[[#This Row],[CÓDIGO PRODUCTO]],INVENTARIOOFICINA[],3,FALSE),"-")</f>
        <v>-</v>
      </c>
    </row>
    <row r="74" spans="1:6" x14ac:dyDescent="0.2">
      <c r="A74" s="13">
        <v>71</v>
      </c>
      <c r="B74" s="29">
        <v>45918</v>
      </c>
      <c r="C74" s="7"/>
      <c r="D74" s="7" t="str">
        <f>IFERROR(VLOOKUP(SALIDASOF[[#This Row],[CÓDIGO PRODUCTO]],INVENTARIOOFICINA[],2,FALSE),"-")</f>
        <v>-</v>
      </c>
      <c r="E74" s="7" t="str">
        <f>IFERROR(VLOOKUP(SALIDASOF[[#This Row],[CÓDIGO PRODUCTO]],INVENTARIOOFICINA[],3,FALSE),"-")</f>
        <v>-</v>
      </c>
    </row>
    <row r="75" spans="1:6" x14ac:dyDescent="0.2">
      <c r="A75" s="13">
        <v>72</v>
      </c>
      <c r="B75" s="29">
        <v>45918</v>
      </c>
      <c r="C75" s="7"/>
      <c r="D75" s="7" t="str">
        <f>IFERROR(VLOOKUP(SALIDASOF[[#This Row],[CÓDIGO PRODUCTO]],INVENTARIOOFICINA[],2,FALSE),"-")</f>
        <v>-</v>
      </c>
      <c r="E75" s="7" t="str">
        <f>IFERROR(VLOOKUP(SALIDASOF[[#This Row],[CÓDIGO PRODUCTO]],INVENTARIOOFICINA[],3,FALSE),"-")</f>
        <v>-</v>
      </c>
    </row>
    <row r="76" spans="1:6" x14ac:dyDescent="0.2">
      <c r="A76" s="13">
        <v>73</v>
      </c>
      <c r="B76" s="29">
        <v>45918</v>
      </c>
      <c r="C76" s="7"/>
      <c r="D76" s="7" t="str">
        <f>IFERROR(VLOOKUP(SALIDASOF[[#This Row],[CÓDIGO PRODUCTO]],INVENTARIOOFICINA[],2,FALSE),"-")</f>
        <v>-</v>
      </c>
      <c r="E76" s="7" t="str">
        <f>IFERROR(VLOOKUP(SALIDASOF[[#This Row],[CÓDIGO PRODUCTO]],INVENTARIOOFICINA[],3,FALSE),"-")</f>
        <v>-</v>
      </c>
    </row>
    <row r="77" spans="1:6" x14ac:dyDescent="0.2">
      <c r="A77" s="13">
        <v>74</v>
      </c>
      <c r="B77" s="29">
        <v>45918</v>
      </c>
      <c r="C77" s="7"/>
      <c r="D77" s="7" t="str">
        <f>IFERROR(VLOOKUP(SALIDASOF[[#This Row],[CÓDIGO PRODUCTO]],INVENTARIOOFICINA[],2,FALSE),"-")</f>
        <v>-</v>
      </c>
      <c r="E77" s="7" t="str">
        <f>IFERROR(VLOOKUP(SALIDASOF[[#This Row],[CÓDIGO PRODUCTO]],INVENTARIOOFICINA[],3,FALSE),"-")</f>
        <v>-</v>
      </c>
    </row>
    <row r="78" spans="1:6" x14ac:dyDescent="0.2">
      <c r="A78" s="13">
        <v>75</v>
      </c>
      <c r="B78" s="29">
        <v>45918</v>
      </c>
      <c r="C78" s="7"/>
      <c r="D78" s="7" t="str">
        <f>IFERROR(VLOOKUP(SALIDASOF[[#This Row],[CÓDIGO PRODUCTO]],INVENTARIOOFICINA[],2,FALSE),"-")</f>
        <v>-</v>
      </c>
      <c r="E78" s="7" t="str">
        <f>IFERROR(VLOOKUP(SALIDASOF[[#This Row],[CÓDIGO PRODUCTO]],INVENTARIOOFICINA[],3,FALSE),"-")</f>
        <v>-</v>
      </c>
    </row>
    <row r="79" spans="1:6" x14ac:dyDescent="0.2">
      <c r="A79" s="13">
        <v>76</v>
      </c>
      <c r="B79" s="29">
        <v>45918</v>
      </c>
      <c r="C79" s="7"/>
      <c r="D79" s="7" t="str">
        <f>IFERROR(VLOOKUP(SALIDASOF[[#This Row],[CÓDIGO PRODUCTO]],INVENTARIOOFICINA[],2,FALSE),"-")</f>
        <v>-</v>
      </c>
      <c r="E79" s="7" t="str">
        <f>IFERROR(VLOOKUP(SALIDASOF[[#This Row],[CÓDIGO PRODUCTO]],INVENTARIOOFICINA[],3,FALSE),"-")</f>
        <v>-</v>
      </c>
      <c r="F79" s="10"/>
    </row>
    <row r="80" spans="1:6" x14ac:dyDescent="0.2">
      <c r="A80" s="13">
        <v>77</v>
      </c>
      <c r="B80" s="29">
        <v>45918</v>
      </c>
      <c r="C80" s="7"/>
      <c r="D80" s="7" t="str">
        <f>IFERROR(VLOOKUP(SALIDASOF[[#This Row],[CÓDIGO PRODUCTO]],INVENTARIOOFICINA[],2,FALSE),"-")</f>
        <v>-</v>
      </c>
      <c r="E80" s="7" t="str">
        <f>IFERROR(VLOOKUP(SALIDASOF[[#This Row],[CÓDIGO PRODUCTO]],INVENTARIOOFICINA[],3,FALSE),"-")</f>
        <v>-</v>
      </c>
    </row>
    <row r="81" spans="1:5" x14ac:dyDescent="0.2">
      <c r="A81" s="13">
        <v>78</v>
      </c>
      <c r="B81" s="29">
        <v>45918</v>
      </c>
      <c r="C81" s="7"/>
      <c r="D81" s="7" t="str">
        <f>IFERROR(VLOOKUP(SALIDASOF[[#This Row],[CÓDIGO PRODUCTO]],INVENTARIOOFICINA[],2,FALSE),"-")</f>
        <v>-</v>
      </c>
      <c r="E81" s="7" t="str">
        <f>IFERROR(VLOOKUP(SALIDASOF[[#This Row],[CÓDIGO PRODUCTO]],INVENTARIOOFICINA[],3,FALSE),"-")</f>
        <v>-</v>
      </c>
    </row>
    <row r="82" spans="1:5" x14ac:dyDescent="0.2">
      <c r="A82" s="13">
        <v>79</v>
      </c>
      <c r="B82" s="29">
        <v>45918</v>
      </c>
      <c r="C82" s="7"/>
      <c r="D82" s="7" t="str">
        <f>IFERROR(VLOOKUP(SALIDASOF[[#This Row],[CÓDIGO PRODUCTO]],INVENTARIOOFICINA[],2,FALSE),"-")</f>
        <v>-</v>
      </c>
      <c r="E82" s="7" t="str">
        <f>IFERROR(VLOOKUP(SALIDASOF[[#This Row],[CÓDIGO PRODUCTO]],INVENTARIOOFICINA[],3,FALSE),"-")</f>
        <v>-</v>
      </c>
    </row>
    <row r="83" spans="1:5" x14ac:dyDescent="0.2">
      <c r="A83" s="13">
        <v>80</v>
      </c>
      <c r="B83" s="29">
        <v>45918</v>
      </c>
      <c r="C83" s="7"/>
      <c r="D83" s="7" t="str">
        <f>IFERROR(VLOOKUP(SALIDASOF[[#This Row],[CÓDIGO PRODUCTO]],INVENTARIOOFICINA[],2,FALSE),"-")</f>
        <v>-</v>
      </c>
      <c r="E83" s="7" t="str">
        <f>IFERROR(VLOOKUP(SALIDASOF[[#This Row],[CÓDIGO PRODUCTO]],INVENTARIOOFICINA[],3,FALSE),"-")</f>
        <v>-</v>
      </c>
    </row>
    <row r="84" spans="1:5" x14ac:dyDescent="0.2">
      <c r="A84" s="13">
        <v>81</v>
      </c>
      <c r="B84" s="29">
        <v>45918</v>
      </c>
      <c r="C84" s="7"/>
      <c r="D84" s="7" t="str">
        <f>IFERROR(VLOOKUP(SALIDASOF[[#This Row],[CÓDIGO PRODUCTO]],INVENTARIOOFICINA[],2,FALSE),"-")</f>
        <v>-</v>
      </c>
      <c r="E84" s="7" t="str">
        <f>IFERROR(VLOOKUP(SALIDASOF[[#This Row],[CÓDIGO PRODUCTO]],INVENTARIOOFICINA[],3,FALSE),"-")</f>
        <v>-</v>
      </c>
    </row>
    <row r="85" spans="1:5" x14ac:dyDescent="0.2">
      <c r="A85" s="13">
        <v>82</v>
      </c>
      <c r="B85" s="29">
        <v>45918</v>
      </c>
      <c r="C85" s="7"/>
      <c r="D85" s="7" t="str">
        <f>IFERROR(VLOOKUP(SALIDASOF[[#This Row],[CÓDIGO PRODUCTO]],INVENTARIOOFICINA[],2,FALSE),"-")</f>
        <v>-</v>
      </c>
      <c r="E85" s="7" t="str">
        <f>IFERROR(VLOOKUP(SALIDASOF[[#This Row],[CÓDIGO PRODUCTO]],INVENTARIOOFICINA[],3,FALSE),"-")</f>
        <v>-</v>
      </c>
    </row>
    <row r="86" spans="1:5" x14ac:dyDescent="0.2">
      <c r="A86" s="13">
        <v>83</v>
      </c>
      <c r="B86" s="29">
        <v>45918</v>
      </c>
      <c r="C86" s="7"/>
      <c r="D86" s="7" t="str">
        <f>IFERROR(VLOOKUP(SALIDASOF[[#This Row],[CÓDIGO PRODUCTO]],INVENTARIOOFICINA[],2,FALSE),"-")</f>
        <v>-</v>
      </c>
      <c r="E86" s="7" t="str">
        <f>IFERROR(VLOOKUP(SALIDASOF[[#This Row],[CÓDIGO PRODUCTO]],INVENTARIOOFICINA[],3,FALSE),"-")</f>
        <v>-</v>
      </c>
    </row>
    <row r="87" spans="1:5" x14ac:dyDescent="0.2">
      <c r="A87" s="13">
        <v>84</v>
      </c>
      <c r="B87" s="29">
        <v>45918</v>
      </c>
      <c r="C87" s="7"/>
      <c r="D87" s="7" t="str">
        <f>IFERROR(VLOOKUP(SALIDASOF[[#This Row],[CÓDIGO PRODUCTO]],INVENTARIOOFICINA[],2,FALSE),"-")</f>
        <v>-</v>
      </c>
      <c r="E87" s="7" t="str">
        <f>IFERROR(VLOOKUP(SALIDASOF[[#This Row],[CÓDIGO PRODUCTO]],INVENTARIOOFICINA[],3,FALSE),"-")</f>
        <v>-</v>
      </c>
    </row>
    <row r="88" spans="1:5" x14ac:dyDescent="0.2">
      <c r="A88" s="13">
        <v>85</v>
      </c>
      <c r="B88" s="29">
        <v>45918</v>
      </c>
      <c r="C88" s="15"/>
      <c r="D88" s="7" t="str">
        <f>IFERROR(VLOOKUP(SALIDASOF[[#This Row],[CÓDIGO PRODUCTO]],INVENTARIOOFICINA[],2,FALSE),"-")</f>
        <v>-</v>
      </c>
      <c r="E88" s="7" t="str">
        <f>IFERROR(VLOOKUP(SALIDASOF[[#This Row],[CÓDIGO PRODUCTO]],INVENTARIOOFICINA[],3,FALSE),"-")</f>
        <v>-</v>
      </c>
    </row>
    <row r="89" spans="1:5" x14ac:dyDescent="0.2">
      <c r="A89" s="13">
        <v>86</v>
      </c>
      <c r="B89" s="29">
        <v>45918</v>
      </c>
      <c r="C89" s="15"/>
      <c r="D89" s="7" t="str">
        <f>IFERROR(VLOOKUP(SALIDASOF[[#This Row],[CÓDIGO PRODUCTO]],INVENTARIOOFICINA[],2,FALSE),"-")</f>
        <v>-</v>
      </c>
      <c r="E89" s="7" t="str">
        <f>IFERROR(VLOOKUP(SALIDASOF[[#This Row],[CÓDIGO PRODUCTO]],INVENTARIOOFICINA[],3,FALSE),"-")</f>
        <v>-</v>
      </c>
    </row>
    <row r="90" spans="1:5" x14ac:dyDescent="0.2">
      <c r="A90" s="13">
        <v>87</v>
      </c>
      <c r="B90" s="29">
        <v>45918</v>
      </c>
      <c r="C90" s="15"/>
      <c r="D90" s="7" t="str">
        <f>IFERROR(VLOOKUP(SALIDASOF[[#This Row],[CÓDIGO PRODUCTO]],INVENTARIOOFICINA[],2,FALSE),"-")</f>
        <v>-</v>
      </c>
      <c r="E90" s="7" t="str">
        <f>IFERROR(VLOOKUP(SALIDASOF[[#This Row],[CÓDIGO PRODUCTO]],INVENTARIOOFICINA[],3,FALSE),"-")</f>
        <v>-</v>
      </c>
    </row>
    <row r="91" spans="1:5" x14ac:dyDescent="0.2">
      <c r="A91" s="13">
        <v>88</v>
      </c>
      <c r="B91" s="29">
        <v>45918</v>
      </c>
      <c r="C91" s="15"/>
      <c r="D91" s="7" t="str">
        <f>IFERROR(VLOOKUP(SALIDASOF[[#This Row],[CÓDIGO PRODUCTO]],INVENTARIOOFICINA[],2,FALSE),"-")</f>
        <v>-</v>
      </c>
      <c r="E91" s="7" t="str">
        <f>IFERROR(VLOOKUP(SALIDASOF[[#This Row],[CÓDIGO PRODUCTO]],INVENTARIOOFICINA[],3,FALSE),"-")</f>
        <v>-</v>
      </c>
    </row>
    <row r="92" spans="1:5" x14ac:dyDescent="0.2">
      <c r="A92" s="13">
        <v>89</v>
      </c>
      <c r="B92" s="29">
        <v>45918</v>
      </c>
      <c r="C92" s="15"/>
      <c r="D92" s="7" t="str">
        <f>IFERROR(VLOOKUP(SALIDASOF[[#This Row],[CÓDIGO PRODUCTO]],INVENTARIOOFICINA[],2,FALSE),"-")</f>
        <v>-</v>
      </c>
      <c r="E92" s="7" t="str">
        <f>IFERROR(VLOOKUP(SALIDASOF[[#This Row],[CÓDIGO PRODUCTO]],INVENTARIOOFICINA[],3,FALSE),"-")</f>
        <v>-</v>
      </c>
    </row>
    <row r="93" spans="1:5" x14ac:dyDescent="0.2">
      <c r="A93" s="13">
        <v>90</v>
      </c>
      <c r="B93" s="29">
        <v>45918</v>
      </c>
      <c r="C93" s="15"/>
      <c r="D93" s="7" t="str">
        <f>IFERROR(VLOOKUP(SALIDASOF[[#This Row],[CÓDIGO PRODUCTO]],INVENTARIOOFICINA[],2,FALSE),"-")</f>
        <v>-</v>
      </c>
      <c r="E93" s="7" t="str">
        <f>IFERROR(VLOOKUP(SALIDASOF[[#This Row],[CÓDIGO PRODUCTO]],INVENTARIOOFICINA[],3,FALSE),"-")</f>
        <v>-</v>
      </c>
    </row>
    <row r="94" spans="1:5" x14ac:dyDescent="0.2">
      <c r="A94" s="13">
        <v>91</v>
      </c>
      <c r="B94" s="29">
        <v>45918</v>
      </c>
      <c r="C94" s="15"/>
      <c r="D94" s="7" t="str">
        <f>IFERROR(VLOOKUP(SALIDASOF[[#This Row],[CÓDIGO PRODUCTO]],INVENTARIOOFICINA[],2,FALSE),"-")</f>
        <v>-</v>
      </c>
      <c r="E94" s="7" t="str">
        <f>IFERROR(VLOOKUP(SALIDASOF[[#This Row],[CÓDIGO PRODUCTO]],INVENTARIOOFICINA[],3,FALSE),"-")</f>
        <v>-</v>
      </c>
    </row>
    <row r="95" spans="1:5" x14ac:dyDescent="0.2">
      <c r="A95" s="13">
        <v>92</v>
      </c>
      <c r="B95" s="29">
        <v>45918</v>
      </c>
      <c r="C95" s="15"/>
      <c r="D95" s="7" t="str">
        <f>IFERROR(VLOOKUP(SALIDASOF[[#This Row],[CÓDIGO PRODUCTO]],INVENTARIOOFICINA[],2,FALSE),"-")</f>
        <v>-</v>
      </c>
      <c r="E95" s="7" t="str">
        <f>IFERROR(VLOOKUP(SALIDASOF[[#This Row],[CÓDIGO PRODUCTO]],INVENTARIOOFICINA[],3,FALSE),"-")</f>
        <v>-</v>
      </c>
    </row>
    <row r="96" spans="1:5" x14ac:dyDescent="0.2">
      <c r="A96" s="13">
        <v>93</v>
      </c>
      <c r="B96" s="29">
        <v>45918</v>
      </c>
      <c r="C96" s="15"/>
      <c r="D96" s="7" t="str">
        <f>IFERROR(VLOOKUP(SALIDASOF[[#This Row],[CÓDIGO PRODUCTO]],INVENTARIOOFICINA[],2,FALSE),"-")</f>
        <v>-</v>
      </c>
      <c r="E96" s="7" t="str">
        <f>IFERROR(VLOOKUP(SALIDASOF[[#This Row],[CÓDIGO PRODUCTO]],INVENTARIOOFICINA[],3,FALSE),"-")</f>
        <v>-</v>
      </c>
    </row>
    <row r="97" spans="1:5" x14ac:dyDescent="0.2">
      <c r="A97" s="13">
        <v>94</v>
      </c>
      <c r="B97" s="29">
        <v>45918</v>
      </c>
      <c r="C97" s="15"/>
      <c r="D97" s="7" t="str">
        <f>IFERROR(VLOOKUP(SALIDASOF[[#This Row],[CÓDIGO PRODUCTO]],INVENTARIOOFICINA[],2,FALSE),"-")</f>
        <v>-</v>
      </c>
      <c r="E97" s="7" t="str">
        <f>IFERROR(VLOOKUP(SALIDASOF[[#This Row],[CÓDIGO PRODUCTO]],INVENTARIOOFICINA[],3,FALSE),"-")</f>
        <v>-</v>
      </c>
    </row>
    <row r="98" spans="1:5" x14ac:dyDescent="0.2">
      <c r="A98" s="13">
        <v>95</v>
      </c>
      <c r="B98" s="29">
        <v>45918</v>
      </c>
      <c r="C98" s="15"/>
      <c r="D98" s="7" t="str">
        <f>IFERROR(VLOOKUP(SALIDASOF[[#This Row],[CÓDIGO PRODUCTO]],INVENTARIOOFICINA[],2,FALSE),"-")</f>
        <v>-</v>
      </c>
      <c r="E98" s="7" t="str">
        <f>IFERROR(VLOOKUP(SALIDASOF[[#This Row],[CÓDIGO PRODUCTO]],INVENTARIOOFICINA[],3,FALSE),"-")</f>
        <v>-</v>
      </c>
    </row>
    <row r="99" spans="1:5" x14ac:dyDescent="0.2">
      <c r="A99" s="13">
        <v>96</v>
      </c>
      <c r="B99" s="29">
        <v>45918</v>
      </c>
      <c r="C99" s="15"/>
      <c r="D99" s="7" t="str">
        <f>IFERROR(VLOOKUP(SALIDASOF[[#This Row],[CÓDIGO PRODUCTO]],INVENTARIOOFICINA[],2,FALSE),"-")</f>
        <v>-</v>
      </c>
      <c r="E99" s="7" t="str">
        <f>IFERROR(VLOOKUP(SALIDASOF[[#This Row],[CÓDIGO PRODUCTO]],INVENTARIOOFICINA[],3,FALSE),"-")</f>
        <v>-</v>
      </c>
    </row>
    <row r="100" spans="1:5" x14ac:dyDescent="0.2">
      <c r="A100" s="13">
        <v>97</v>
      </c>
      <c r="B100" s="29">
        <v>45918</v>
      </c>
      <c r="C100" s="15"/>
      <c r="D100" s="7" t="str">
        <f>IFERROR(VLOOKUP(SALIDASOF[[#This Row],[CÓDIGO PRODUCTO]],INVENTARIOOFICINA[],2,FALSE),"-")</f>
        <v>-</v>
      </c>
      <c r="E100" s="7" t="str">
        <f>IFERROR(VLOOKUP(SALIDASOF[[#This Row],[CÓDIGO PRODUCTO]],INVENTARIOOFICINA[],3,FALSE),"-")</f>
        <v>-</v>
      </c>
    </row>
    <row r="101" spans="1:5" x14ac:dyDescent="0.2">
      <c r="A101" s="13">
        <v>98</v>
      </c>
      <c r="B101" s="29">
        <v>45918</v>
      </c>
      <c r="C101" s="15"/>
      <c r="D101" s="7" t="str">
        <f>IFERROR(VLOOKUP(SALIDASOF[[#This Row],[CÓDIGO PRODUCTO]],INVENTARIOOFICINA[],2,FALSE),"-")</f>
        <v>-</v>
      </c>
      <c r="E101" s="7" t="str">
        <f>IFERROR(VLOOKUP(SALIDASOF[[#This Row],[CÓDIGO PRODUCTO]],INVENTARIOOFICINA[],3,FALSE),"-")</f>
        <v>-</v>
      </c>
    </row>
    <row r="102" spans="1:5" x14ac:dyDescent="0.2">
      <c r="A102" s="13">
        <v>99</v>
      </c>
      <c r="B102" s="29">
        <v>45918</v>
      </c>
      <c r="C102" s="15"/>
      <c r="D102" s="7" t="str">
        <f>IFERROR(VLOOKUP(SALIDASOF[[#This Row],[CÓDIGO PRODUCTO]],INVENTARIOOFICINA[],2,FALSE),"-")</f>
        <v>-</v>
      </c>
      <c r="E102" s="7" t="str">
        <f>IFERROR(VLOOKUP(SALIDASOF[[#This Row],[CÓDIGO PRODUCTO]],INVENTARIOOFICINA[],3,FALSE),"-")</f>
        <v>-</v>
      </c>
    </row>
    <row r="103" spans="1:5" x14ac:dyDescent="0.2">
      <c r="A103" s="13">
        <v>100</v>
      </c>
      <c r="B103" s="29">
        <v>45918</v>
      </c>
      <c r="C103" s="15"/>
      <c r="D103" s="7" t="str">
        <f>IFERROR(VLOOKUP(SALIDASOF[[#This Row],[CÓDIGO PRODUCTO]],INVENTARIOOFICINA[],2,FALSE),"-")</f>
        <v>-</v>
      </c>
      <c r="E103" s="7" t="str">
        <f>IFERROR(VLOOKUP(SALIDASOF[[#This Row],[CÓDIGO PRODUCTO]],INVENTARIOOFICINA[],3,FALSE),"-")</f>
        <v>-</v>
      </c>
    </row>
    <row r="104" spans="1:5" x14ac:dyDescent="0.2">
      <c r="A104" s="13">
        <v>101</v>
      </c>
      <c r="B104" s="29">
        <v>45918</v>
      </c>
      <c r="C104" s="15"/>
      <c r="D104" s="7" t="str">
        <f>IFERROR(VLOOKUP(SALIDASOF[[#This Row],[CÓDIGO PRODUCTO]],INVENTARIOOFICINA[],2,FALSE),"-")</f>
        <v>-</v>
      </c>
      <c r="E104" s="7" t="str">
        <f>IFERROR(VLOOKUP(SALIDASOF[[#This Row],[CÓDIGO PRODUCTO]],INVENTARIOOFICINA[],3,FALSE),"-")</f>
        <v>-</v>
      </c>
    </row>
    <row r="105" spans="1:5" x14ac:dyDescent="0.2">
      <c r="A105" s="13">
        <v>102</v>
      </c>
      <c r="B105" s="29">
        <v>45918</v>
      </c>
      <c r="C105" s="15"/>
      <c r="D105" s="7" t="str">
        <f>IFERROR(VLOOKUP(SALIDASOF[[#This Row],[CÓDIGO PRODUCTO]],INVENTARIOOFICINA[],2,FALSE),"-")</f>
        <v>-</v>
      </c>
      <c r="E105" s="7" t="str">
        <f>IFERROR(VLOOKUP(SALIDASOF[[#This Row],[CÓDIGO PRODUCTO]],INVENTARIOOFICINA[],3,FALSE),"-")</f>
        <v>-</v>
      </c>
    </row>
    <row r="106" spans="1:5" x14ac:dyDescent="0.2">
      <c r="A106" s="13">
        <v>103</v>
      </c>
      <c r="B106" s="29">
        <v>45918</v>
      </c>
      <c r="C106" s="15"/>
      <c r="D106" s="7" t="str">
        <f>IFERROR(VLOOKUP(SALIDASOF[[#This Row],[CÓDIGO PRODUCTO]],INVENTARIOOFICINA[],2,FALSE),"-")</f>
        <v>-</v>
      </c>
      <c r="E106" s="7" t="str">
        <f>IFERROR(VLOOKUP(SALIDASOF[[#This Row],[CÓDIGO PRODUCTO]],INVENTARIOOFICINA[],3,FALSE),"-")</f>
        <v>-</v>
      </c>
    </row>
    <row r="107" spans="1:5" x14ac:dyDescent="0.2">
      <c r="A107" s="13">
        <v>104</v>
      </c>
      <c r="B107" s="29">
        <v>45918</v>
      </c>
      <c r="C107" s="15"/>
      <c r="D107" s="7" t="str">
        <f>IFERROR(VLOOKUP(SALIDASOF[[#This Row],[CÓDIGO PRODUCTO]],INVENTARIOOFICINA[],2,FALSE),"-")</f>
        <v>-</v>
      </c>
      <c r="E107" s="7" t="str">
        <f>IFERROR(VLOOKUP(SALIDASOF[[#This Row],[CÓDIGO PRODUCTO]],INVENTARIOOFICINA[],3,FALSE),"-")</f>
        <v>-</v>
      </c>
    </row>
    <row r="108" spans="1:5" x14ac:dyDescent="0.2">
      <c r="A108" s="13">
        <v>105</v>
      </c>
      <c r="B108" s="29">
        <v>45918</v>
      </c>
      <c r="C108" s="15"/>
      <c r="D108" s="7" t="str">
        <f>IFERROR(VLOOKUP(SALIDASOF[[#This Row],[CÓDIGO PRODUCTO]],INVENTARIOOFICINA[],2,FALSE),"-")</f>
        <v>-</v>
      </c>
      <c r="E108" s="7" t="str">
        <f>IFERROR(VLOOKUP(SALIDASOF[[#This Row],[CÓDIGO PRODUCTO]],INVENTARIOOFICINA[],3,FALSE),"-")</f>
        <v>-</v>
      </c>
    </row>
    <row r="109" spans="1:5" x14ac:dyDescent="0.2">
      <c r="A109" s="13">
        <v>106</v>
      </c>
      <c r="B109" s="29">
        <v>45918</v>
      </c>
      <c r="C109" s="15"/>
      <c r="D109" s="7" t="str">
        <f>IFERROR(VLOOKUP(SALIDASOF[[#This Row],[CÓDIGO PRODUCTO]],INVENTARIOOFICINA[],2,FALSE),"-")</f>
        <v>-</v>
      </c>
      <c r="E109" s="7" t="str">
        <f>IFERROR(VLOOKUP(SALIDASOF[[#This Row],[CÓDIGO PRODUCTO]],INVENTARIOOFICINA[],3,FALSE),"-")</f>
        <v>-</v>
      </c>
    </row>
    <row r="110" spans="1:5" x14ac:dyDescent="0.2">
      <c r="A110" s="13">
        <v>107</v>
      </c>
      <c r="B110" s="29">
        <v>45918</v>
      </c>
      <c r="C110" s="15"/>
      <c r="D110" s="7" t="str">
        <f>IFERROR(VLOOKUP(SALIDASOF[[#This Row],[CÓDIGO PRODUCTO]],INVENTARIOOFICINA[],2,FALSE),"-")</f>
        <v>-</v>
      </c>
      <c r="E110" s="7" t="str">
        <f>IFERROR(VLOOKUP(SALIDASOF[[#This Row],[CÓDIGO PRODUCTO]],INVENTARIOOFICINA[],3,FALSE),"-")</f>
        <v>-</v>
      </c>
    </row>
    <row r="111" spans="1:5" x14ac:dyDescent="0.2">
      <c r="A111" s="13">
        <v>108</v>
      </c>
      <c r="B111" s="29">
        <v>45918</v>
      </c>
      <c r="C111" s="15"/>
      <c r="D111" s="7" t="str">
        <f>IFERROR(VLOOKUP(SALIDASOF[[#This Row],[CÓDIGO PRODUCTO]],INVENTARIOOFICINA[],2,FALSE),"-")</f>
        <v>-</v>
      </c>
      <c r="E111" s="7" t="str">
        <f>IFERROR(VLOOKUP(SALIDASOF[[#This Row],[CÓDIGO PRODUCTO]],INVENTARIOOFICINA[],3,FALSE),"-")</f>
        <v>-</v>
      </c>
    </row>
    <row r="112" spans="1:5" x14ac:dyDescent="0.2">
      <c r="A112" s="13">
        <v>109</v>
      </c>
      <c r="B112" s="29">
        <v>45918</v>
      </c>
      <c r="C112" s="15"/>
      <c r="D112" s="7" t="str">
        <f>IFERROR(VLOOKUP(SALIDASOF[[#This Row],[CÓDIGO PRODUCTO]],INVENTARIOOFICINA[],2,FALSE),"-")</f>
        <v>-</v>
      </c>
      <c r="E112" s="7" t="str">
        <f>IFERROR(VLOOKUP(SALIDASOF[[#This Row],[CÓDIGO PRODUCTO]],INVENTARIOOFICINA[],3,FALSE),"-")</f>
        <v>-</v>
      </c>
    </row>
    <row r="113" spans="1:5" x14ac:dyDescent="0.2">
      <c r="A113" s="13">
        <v>110</v>
      </c>
      <c r="B113" s="29">
        <v>45918</v>
      </c>
      <c r="C113" s="15"/>
      <c r="D113" s="7" t="str">
        <f>IFERROR(VLOOKUP(SALIDASOF[[#This Row],[CÓDIGO PRODUCTO]],INVENTARIOOFICINA[],2,FALSE),"-")</f>
        <v>-</v>
      </c>
      <c r="E113" s="7" t="str">
        <f>IFERROR(VLOOKUP(SALIDASOF[[#This Row],[CÓDIGO PRODUCTO]],INVENTARIOOFICINA[],3,FALSE),"-")</f>
        <v>-</v>
      </c>
    </row>
    <row r="114" spans="1:5" x14ac:dyDescent="0.2">
      <c r="A114" s="13">
        <v>111</v>
      </c>
      <c r="B114" s="29">
        <v>45918</v>
      </c>
      <c r="C114" s="15"/>
      <c r="D114" s="7" t="str">
        <f>IFERROR(VLOOKUP(SALIDASOF[[#This Row],[CÓDIGO PRODUCTO]],INVENTARIOOFICINA[],2,FALSE),"-")</f>
        <v>-</v>
      </c>
      <c r="E114" s="7" t="str">
        <f>IFERROR(VLOOKUP(SALIDASOF[[#This Row],[CÓDIGO PRODUCTO]],INVENTARIOOFICINA[],3,FALSE),"-")</f>
        <v>-</v>
      </c>
    </row>
    <row r="115" spans="1:5" x14ac:dyDescent="0.2">
      <c r="A115" s="13">
        <v>112</v>
      </c>
      <c r="B115" s="29">
        <v>45918</v>
      </c>
      <c r="C115" s="15"/>
      <c r="D115" s="7" t="str">
        <f>IFERROR(VLOOKUP(SALIDASOF[[#This Row],[CÓDIGO PRODUCTO]],INVENTARIOOFICINA[],2,FALSE),"-")</f>
        <v>-</v>
      </c>
      <c r="E115" s="7" t="str">
        <f>IFERROR(VLOOKUP(SALIDASOF[[#This Row],[CÓDIGO PRODUCTO]],INVENTARIOOFICINA[],3,FALSE),"-")</f>
        <v>-</v>
      </c>
    </row>
    <row r="116" spans="1:5" x14ac:dyDescent="0.2">
      <c r="A116" s="13">
        <v>113</v>
      </c>
      <c r="B116" s="29">
        <v>45918</v>
      </c>
      <c r="C116" s="15"/>
      <c r="D116" s="7" t="str">
        <f>IFERROR(VLOOKUP(SALIDASOF[[#This Row],[CÓDIGO PRODUCTO]],INVENTARIOOFICINA[],2,FALSE),"-")</f>
        <v>-</v>
      </c>
      <c r="E116" s="7" t="str">
        <f>IFERROR(VLOOKUP(SALIDASOF[[#This Row],[CÓDIGO PRODUCTO]],INVENTARIOOFICINA[],3,FALSE),"-")</f>
        <v>-</v>
      </c>
    </row>
    <row r="117" spans="1:5" x14ac:dyDescent="0.2">
      <c r="A117" s="13">
        <v>114</v>
      </c>
      <c r="B117" s="29">
        <v>45918</v>
      </c>
      <c r="C117" s="15"/>
      <c r="D117" s="7" t="str">
        <f>IFERROR(VLOOKUP(SALIDASOF[[#This Row],[CÓDIGO PRODUCTO]],INVENTARIOOFICINA[],2,FALSE),"-")</f>
        <v>-</v>
      </c>
      <c r="E117" s="7" t="str">
        <f>IFERROR(VLOOKUP(SALIDASOF[[#This Row],[CÓDIGO PRODUCTO]],INVENTARIOOFICINA[],3,FALSE),"-")</f>
        <v>-</v>
      </c>
    </row>
    <row r="118" spans="1:5" x14ac:dyDescent="0.2">
      <c r="A118" s="13">
        <v>115</v>
      </c>
      <c r="B118" s="29">
        <v>45918</v>
      </c>
      <c r="C118" s="15"/>
      <c r="D118" s="7" t="str">
        <f>IFERROR(VLOOKUP(SALIDASOF[[#This Row],[CÓDIGO PRODUCTO]],INVENTARIOOFICINA[],2,FALSE),"-")</f>
        <v>-</v>
      </c>
      <c r="E118" s="7" t="str">
        <f>IFERROR(VLOOKUP(SALIDASOF[[#This Row],[CÓDIGO PRODUCTO]],INVENTARIOOFICINA[],3,FALSE),"-")</f>
        <v>-</v>
      </c>
    </row>
    <row r="119" spans="1:5" x14ac:dyDescent="0.2">
      <c r="A119" s="13">
        <v>116</v>
      </c>
      <c r="B119" s="29">
        <v>45918</v>
      </c>
      <c r="C119" s="15"/>
      <c r="D119" s="7" t="str">
        <f>IFERROR(VLOOKUP(SALIDASOF[[#This Row],[CÓDIGO PRODUCTO]],INVENTARIOOFICINA[],2,FALSE),"-")</f>
        <v>-</v>
      </c>
      <c r="E119" s="7" t="str">
        <f>IFERROR(VLOOKUP(SALIDASOF[[#This Row],[CÓDIGO PRODUCTO]],INVENTARIOOFICINA[],3,FALSE),"-")</f>
        <v>-</v>
      </c>
    </row>
    <row r="120" spans="1:5" x14ac:dyDescent="0.2">
      <c r="A120" s="13">
        <v>117</v>
      </c>
      <c r="B120" s="29">
        <v>45918</v>
      </c>
      <c r="C120" s="15"/>
      <c r="D120" s="7" t="str">
        <f>IFERROR(VLOOKUP(SALIDASOF[[#This Row],[CÓDIGO PRODUCTO]],INVENTARIOOFICINA[],2,FALSE),"-")</f>
        <v>-</v>
      </c>
      <c r="E120" s="7" t="str">
        <f>IFERROR(VLOOKUP(SALIDASOF[[#This Row],[CÓDIGO PRODUCTO]],INVENTARIOOFICINA[],3,FALSE),"-")</f>
        <v>-</v>
      </c>
    </row>
    <row r="121" spans="1:5" x14ac:dyDescent="0.2">
      <c r="A121" s="13">
        <v>118</v>
      </c>
      <c r="B121" s="29">
        <v>45918</v>
      </c>
      <c r="C121" s="15"/>
      <c r="D121" s="7" t="str">
        <f>IFERROR(VLOOKUP(SALIDASOF[[#This Row],[CÓDIGO PRODUCTO]],INVENTARIOOFICINA[],2,FALSE),"-")</f>
        <v>-</v>
      </c>
      <c r="E121" s="7" t="str">
        <f>IFERROR(VLOOKUP(SALIDASOF[[#This Row],[CÓDIGO PRODUCTO]],INVENTARIOOFICINA[],3,FALSE),"-")</f>
        <v>-</v>
      </c>
    </row>
    <row r="122" spans="1:5" x14ac:dyDescent="0.2">
      <c r="A122" s="13">
        <v>119</v>
      </c>
      <c r="B122" s="29">
        <v>45918</v>
      </c>
      <c r="C122" s="15"/>
      <c r="D122" s="7" t="str">
        <f>IFERROR(VLOOKUP(SALIDASOF[[#This Row],[CÓDIGO PRODUCTO]],INVENTARIOOFICINA[],2,FALSE),"-")</f>
        <v>-</v>
      </c>
      <c r="E122" s="7" t="str">
        <f>IFERROR(VLOOKUP(SALIDASOF[[#This Row],[CÓDIGO PRODUCTO]],INVENTARIOOFICINA[],3,FALSE),"-")</f>
        <v>-</v>
      </c>
    </row>
    <row r="123" spans="1:5" x14ac:dyDescent="0.2">
      <c r="A123" s="13">
        <v>120</v>
      </c>
      <c r="B123" s="29">
        <v>45918</v>
      </c>
      <c r="C123" s="15"/>
      <c r="D123" s="7" t="str">
        <f>IFERROR(VLOOKUP(SALIDASOF[[#This Row],[CÓDIGO PRODUCTO]],INVENTARIOOFICINA[],2,FALSE),"-")</f>
        <v>-</v>
      </c>
      <c r="E123" s="7" t="str">
        <f>IFERROR(VLOOKUP(SALIDASOF[[#This Row],[CÓDIGO PRODUCTO]],INVENTARIOOFICINA[],3,FALSE),"-")</f>
        <v>-</v>
      </c>
    </row>
    <row r="124" spans="1:5" x14ac:dyDescent="0.2">
      <c r="A124" s="13">
        <v>121</v>
      </c>
      <c r="B124" s="29">
        <v>45918</v>
      </c>
      <c r="C124" s="15"/>
      <c r="D124" s="7" t="str">
        <f>IFERROR(VLOOKUP(SALIDASOF[[#This Row],[CÓDIGO PRODUCTO]],INVENTARIOOFICINA[],2,FALSE),"-")</f>
        <v>-</v>
      </c>
      <c r="E124" s="7" t="str">
        <f>IFERROR(VLOOKUP(SALIDASOF[[#This Row],[CÓDIGO PRODUCTO]],INVENTARIOOFICINA[],3,FALSE),"-")</f>
        <v>-</v>
      </c>
    </row>
    <row r="125" spans="1:5" x14ac:dyDescent="0.2">
      <c r="A125" s="13">
        <v>122</v>
      </c>
      <c r="B125" s="29">
        <v>45918</v>
      </c>
      <c r="C125" s="15"/>
      <c r="D125" s="7" t="str">
        <f>IFERROR(VLOOKUP(SALIDASOF[[#This Row],[CÓDIGO PRODUCTO]],INVENTARIOOFICINA[],2,FALSE),"-")</f>
        <v>-</v>
      </c>
      <c r="E125" s="7" t="str">
        <f>IFERROR(VLOOKUP(SALIDASOF[[#This Row],[CÓDIGO PRODUCTO]],INVENTARIOOFICINA[],3,FALSE),"-")</f>
        <v>-</v>
      </c>
    </row>
    <row r="126" spans="1:5" x14ac:dyDescent="0.2">
      <c r="A126" s="13">
        <v>123</v>
      </c>
      <c r="B126" s="29">
        <v>45918</v>
      </c>
      <c r="C126" s="15"/>
      <c r="D126" s="7" t="str">
        <f>IFERROR(VLOOKUP(SALIDASOF[[#This Row],[CÓDIGO PRODUCTO]],INVENTARIOOFICINA[],2,FALSE),"-")</f>
        <v>-</v>
      </c>
      <c r="E126" s="7" t="str">
        <f>IFERROR(VLOOKUP(SALIDASOF[[#This Row],[CÓDIGO PRODUCTO]],INVENTARIOOFICINA[],3,FALSE),"-")</f>
        <v>-</v>
      </c>
    </row>
    <row r="127" spans="1:5" x14ac:dyDescent="0.2">
      <c r="A127" s="13">
        <v>124</v>
      </c>
      <c r="B127" s="29">
        <v>45918</v>
      </c>
      <c r="C127" s="15"/>
      <c r="D127" s="7" t="str">
        <f>IFERROR(VLOOKUP(SALIDASOF[[#This Row],[CÓDIGO PRODUCTO]],INVENTARIOOFICINA[],2,FALSE),"-")</f>
        <v>-</v>
      </c>
      <c r="E127" s="7" t="str">
        <f>IFERROR(VLOOKUP(SALIDASOF[[#This Row],[CÓDIGO PRODUCTO]],INVENTARIOOFICINA[],3,FALSE),"-")</f>
        <v>-</v>
      </c>
    </row>
    <row r="128" spans="1:5" x14ac:dyDescent="0.2">
      <c r="A128" s="13">
        <v>125</v>
      </c>
      <c r="B128" s="29">
        <v>45918</v>
      </c>
      <c r="C128" s="15"/>
      <c r="D128" s="7" t="str">
        <f>IFERROR(VLOOKUP(SALIDASOF[[#This Row],[CÓDIGO PRODUCTO]],INVENTARIOOFICINA[],2,FALSE),"-")</f>
        <v>-</v>
      </c>
      <c r="E128" s="7" t="str">
        <f>IFERROR(VLOOKUP(SALIDASOF[[#This Row],[CÓDIGO PRODUCTO]],INVENTARIOOFICINA[],3,FALSE),"-")</f>
        <v>-</v>
      </c>
    </row>
    <row r="129" spans="1:5" x14ac:dyDescent="0.2">
      <c r="A129" s="13">
        <v>126</v>
      </c>
      <c r="B129" s="29">
        <v>45918</v>
      </c>
      <c r="C129" s="15"/>
      <c r="D129" s="7" t="str">
        <f>IFERROR(VLOOKUP(SALIDASOF[[#This Row],[CÓDIGO PRODUCTO]],INVENTARIOOFICINA[],2,FALSE),"-")</f>
        <v>-</v>
      </c>
      <c r="E129" s="7" t="str">
        <f>IFERROR(VLOOKUP(SALIDASOF[[#This Row],[CÓDIGO PRODUCTO]],INVENTARIOOFICINA[],3,FALSE),"-")</f>
        <v>-</v>
      </c>
    </row>
    <row r="130" spans="1:5" x14ac:dyDescent="0.2">
      <c r="A130" s="13">
        <v>127</v>
      </c>
      <c r="B130" s="29">
        <v>45918</v>
      </c>
      <c r="C130" s="15"/>
      <c r="D130" s="7" t="str">
        <f>IFERROR(VLOOKUP(SALIDASOF[[#This Row],[CÓDIGO PRODUCTO]],INVENTARIOOFICINA[],2,FALSE),"-")</f>
        <v>-</v>
      </c>
      <c r="E130" s="7" t="str">
        <f>IFERROR(VLOOKUP(SALIDASOF[[#This Row],[CÓDIGO PRODUCTO]],INVENTARIOOFICINA[],3,FALSE),"-")</f>
        <v>-</v>
      </c>
    </row>
    <row r="131" spans="1:5" x14ac:dyDescent="0.2">
      <c r="A131" s="13">
        <v>128</v>
      </c>
      <c r="B131" s="29">
        <v>45918</v>
      </c>
      <c r="C131" s="15"/>
      <c r="D131" s="7" t="str">
        <f>IFERROR(VLOOKUP(SALIDASOF[[#This Row],[CÓDIGO PRODUCTO]],INVENTARIOOFICINA[],2,FALSE),"-")</f>
        <v>-</v>
      </c>
      <c r="E131" s="7" t="str">
        <f>IFERROR(VLOOKUP(SALIDASOF[[#This Row],[CÓDIGO PRODUCTO]],INVENTARIOOFICINA[],3,FALSE),"-")</f>
        <v>-</v>
      </c>
    </row>
    <row r="132" spans="1:5" x14ac:dyDescent="0.2">
      <c r="A132" s="13">
        <v>129</v>
      </c>
      <c r="B132" s="29">
        <v>45918</v>
      </c>
      <c r="C132" s="15"/>
      <c r="D132" s="7" t="str">
        <f>IFERROR(VLOOKUP(SALIDASOF[[#This Row],[CÓDIGO PRODUCTO]],INVENTARIOOFICINA[],2,FALSE),"-")</f>
        <v>-</v>
      </c>
      <c r="E132" s="7" t="str">
        <f>IFERROR(VLOOKUP(SALIDASOF[[#This Row],[CÓDIGO PRODUCTO]],INVENTARIOOFICINA[],3,FALSE),"-")</f>
        <v>-</v>
      </c>
    </row>
    <row r="133" spans="1:5" x14ac:dyDescent="0.2">
      <c r="A133" s="13">
        <v>130</v>
      </c>
      <c r="B133" s="29">
        <v>45918</v>
      </c>
      <c r="C133" s="15"/>
      <c r="D133" s="7" t="str">
        <f>IFERROR(VLOOKUP(SALIDASOF[[#This Row],[CÓDIGO PRODUCTO]],INVENTARIOOFICINA[],2,FALSE),"-")</f>
        <v>-</v>
      </c>
      <c r="E133" s="7" t="str">
        <f>IFERROR(VLOOKUP(SALIDASOF[[#This Row],[CÓDIGO PRODUCTO]],INVENTARIOOFICINA[],3,FALSE),"-")</f>
        <v>-</v>
      </c>
    </row>
    <row r="134" spans="1:5" x14ac:dyDescent="0.2">
      <c r="A134" s="13">
        <v>131</v>
      </c>
      <c r="B134" s="29">
        <v>45918</v>
      </c>
      <c r="C134" s="15"/>
      <c r="D134" s="7" t="str">
        <f>IFERROR(VLOOKUP(SALIDASOF[[#This Row],[CÓDIGO PRODUCTO]],INVENTARIOOFICINA[],2,FALSE),"-")</f>
        <v>-</v>
      </c>
      <c r="E134" s="7" t="str">
        <f>IFERROR(VLOOKUP(SALIDASOF[[#This Row],[CÓDIGO PRODUCTO]],INVENTARIOOFICINA[],3,FALSE),"-")</f>
        <v>-</v>
      </c>
    </row>
    <row r="135" spans="1:5" x14ac:dyDescent="0.2">
      <c r="A135" s="13">
        <v>132</v>
      </c>
      <c r="B135" s="29">
        <v>45918</v>
      </c>
      <c r="C135" s="15"/>
      <c r="D135" s="7" t="str">
        <f>IFERROR(VLOOKUP(SALIDASOF[[#This Row],[CÓDIGO PRODUCTO]],INVENTARIOOFICINA[],2,FALSE),"-")</f>
        <v>-</v>
      </c>
      <c r="E135" s="7" t="str">
        <f>IFERROR(VLOOKUP(SALIDASOF[[#This Row],[CÓDIGO PRODUCTO]],INVENTARIOOFICINA[],3,FALSE),"-")</f>
        <v>-</v>
      </c>
    </row>
    <row r="136" spans="1:5" x14ac:dyDescent="0.2">
      <c r="A136" s="13">
        <v>133</v>
      </c>
      <c r="B136" s="29">
        <v>45918</v>
      </c>
      <c r="C136" s="15"/>
      <c r="D136" s="7" t="str">
        <f>IFERROR(VLOOKUP(SALIDASOF[[#This Row],[CÓDIGO PRODUCTO]],INVENTARIOOFICINA[],2,FALSE),"-")</f>
        <v>-</v>
      </c>
      <c r="E136" s="7" t="str">
        <f>IFERROR(VLOOKUP(SALIDASOF[[#This Row],[CÓDIGO PRODUCTO]],INVENTARIOOFICINA[],3,FALSE),"-")</f>
        <v>-</v>
      </c>
    </row>
    <row r="137" spans="1:5" x14ac:dyDescent="0.2">
      <c r="A137" s="13">
        <v>134</v>
      </c>
      <c r="B137" s="29">
        <v>45918</v>
      </c>
      <c r="C137" s="15"/>
      <c r="D137" s="7" t="str">
        <f>IFERROR(VLOOKUP(SALIDASOF[[#This Row],[CÓDIGO PRODUCTO]],INVENTARIOOFICINA[],2,FALSE),"-")</f>
        <v>-</v>
      </c>
      <c r="E137" s="7" t="str">
        <f>IFERROR(VLOOKUP(SALIDASOF[[#This Row],[CÓDIGO PRODUCTO]],INVENTARIOOFICINA[],3,FALSE),"-")</f>
        <v>-</v>
      </c>
    </row>
    <row r="138" spans="1:5" x14ac:dyDescent="0.2">
      <c r="A138" s="13">
        <v>135</v>
      </c>
      <c r="B138" s="29">
        <v>45918</v>
      </c>
      <c r="C138" s="15"/>
      <c r="D138" s="7" t="str">
        <f>IFERROR(VLOOKUP(SALIDASOF[[#This Row],[CÓDIGO PRODUCTO]],INVENTARIOOFICINA[],2,FALSE),"-")</f>
        <v>-</v>
      </c>
      <c r="E138" s="7" t="str">
        <f>IFERROR(VLOOKUP(SALIDASOF[[#This Row],[CÓDIGO PRODUCTO]],INVENTARIOOFICINA[],3,FALSE),"-")</f>
        <v>-</v>
      </c>
    </row>
    <row r="139" spans="1:5" x14ac:dyDescent="0.2">
      <c r="A139" s="13">
        <v>136</v>
      </c>
      <c r="B139" s="29">
        <v>45918</v>
      </c>
      <c r="C139" s="15"/>
      <c r="D139" s="7" t="str">
        <f>IFERROR(VLOOKUP(SALIDASOF[[#This Row],[CÓDIGO PRODUCTO]],INVENTARIOOFICINA[],2,FALSE),"-")</f>
        <v>-</v>
      </c>
      <c r="E139" s="7" t="str">
        <f>IFERROR(VLOOKUP(SALIDASOF[[#This Row],[CÓDIGO PRODUCTO]],INVENTARIOOFICINA[],3,FALSE),"-")</f>
        <v>-</v>
      </c>
    </row>
    <row r="140" spans="1:5" x14ac:dyDescent="0.2">
      <c r="A140" s="13">
        <v>137</v>
      </c>
      <c r="B140" s="29">
        <v>45918</v>
      </c>
      <c r="C140" s="15"/>
      <c r="D140" s="7" t="str">
        <f>IFERROR(VLOOKUP(SALIDASOF[[#This Row],[CÓDIGO PRODUCTO]],INVENTARIOOFICINA[],2,FALSE),"-")</f>
        <v>-</v>
      </c>
      <c r="E140" s="7" t="str">
        <f>IFERROR(VLOOKUP(SALIDASOF[[#This Row],[CÓDIGO PRODUCTO]],INVENTARIOOFICINA[],3,FALSE),"-")</f>
        <v>-</v>
      </c>
    </row>
    <row r="141" spans="1:5" x14ac:dyDescent="0.2">
      <c r="A141" s="13">
        <v>138</v>
      </c>
      <c r="B141" s="29">
        <v>45918</v>
      </c>
      <c r="C141" s="15"/>
      <c r="D141" s="7" t="str">
        <f>IFERROR(VLOOKUP(SALIDASOF[[#This Row],[CÓDIGO PRODUCTO]],INVENTARIOOFICINA[],2,FALSE),"-")</f>
        <v>-</v>
      </c>
      <c r="E141" s="7" t="str">
        <f>IFERROR(VLOOKUP(SALIDASOF[[#This Row],[CÓDIGO PRODUCTO]],INVENTARIOOFICINA[],3,FALSE),"-")</f>
        <v>-</v>
      </c>
    </row>
    <row r="142" spans="1:5" x14ac:dyDescent="0.2">
      <c r="A142" s="13">
        <v>139</v>
      </c>
      <c r="B142" s="29">
        <v>45918</v>
      </c>
      <c r="C142" s="15"/>
      <c r="D142" s="7" t="str">
        <f>IFERROR(VLOOKUP(SALIDASOF[[#This Row],[CÓDIGO PRODUCTO]],INVENTARIOOFICINA[],2,FALSE),"-")</f>
        <v>-</v>
      </c>
      <c r="E142" s="7" t="str">
        <f>IFERROR(VLOOKUP(SALIDASOF[[#This Row],[CÓDIGO PRODUCTO]],INVENTARIOOFICINA[],3,FALSE),"-")</f>
        <v>-</v>
      </c>
    </row>
    <row r="143" spans="1:5" x14ac:dyDescent="0.2">
      <c r="A143" s="13">
        <v>140</v>
      </c>
      <c r="B143" s="29">
        <v>45918</v>
      </c>
      <c r="C143" s="15"/>
      <c r="D143" s="7" t="str">
        <f>IFERROR(VLOOKUP(SALIDASOF[[#This Row],[CÓDIGO PRODUCTO]],INVENTARIOOFICINA[],2,FALSE),"-")</f>
        <v>-</v>
      </c>
      <c r="E143" s="7" t="str">
        <f>IFERROR(VLOOKUP(SALIDASOF[[#This Row],[CÓDIGO PRODUCTO]],INVENTARIOOFICINA[],3,FALSE),"-")</f>
        <v>-</v>
      </c>
    </row>
    <row r="144" spans="1:5" x14ac:dyDescent="0.2">
      <c r="A144" s="13">
        <v>141</v>
      </c>
      <c r="B144" s="29">
        <v>45918</v>
      </c>
      <c r="C144" s="15"/>
      <c r="D144" s="7" t="str">
        <f>IFERROR(VLOOKUP(SALIDASOF[[#This Row],[CÓDIGO PRODUCTO]],INVENTARIOOFICINA[],2,FALSE),"-")</f>
        <v>-</v>
      </c>
      <c r="E144" s="7" t="str">
        <f>IFERROR(VLOOKUP(SALIDASOF[[#This Row],[CÓDIGO PRODUCTO]],INVENTARIOOFICINA[],3,FALSE),"-")</f>
        <v>-</v>
      </c>
    </row>
    <row r="145" spans="1:5" x14ac:dyDescent="0.2">
      <c r="A145" s="13">
        <v>142</v>
      </c>
      <c r="B145" s="29">
        <v>45918</v>
      </c>
      <c r="C145" s="15"/>
      <c r="D145" s="7" t="str">
        <f>IFERROR(VLOOKUP(SALIDASOF[[#This Row],[CÓDIGO PRODUCTO]],INVENTARIOOFICINA[],2,FALSE),"-")</f>
        <v>-</v>
      </c>
      <c r="E145" s="7" t="str">
        <f>IFERROR(VLOOKUP(SALIDASOF[[#This Row],[CÓDIGO PRODUCTO]],INVENTARIOOFICINA[],3,FALSE),"-")</f>
        <v>-</v>
      </c>
    </row>
    <row r="146" spans="1:5" x14ac:dyDescent="0.2">
      <c r="A146" s="13">
        <v>143</v>
      </c>
      <c r="B146" s="29">
        <v>45918</v>
      </c>
      <c r="C146" s="15"/>
      <c r="D146" s="7" t="str">
        <f>IFERROR(VLOOKUP(SALIDASOF[[#This Row],[CÓDIGO PRODUCTO]],INVENTARIOOFICINA[],2,FALSE),"-")</f>
        <v>-</v>
      </c>
      <c r="E146" s="7" t="str">
        <f>IFERROR(VLOOKUP(SALIDASOF[[#This Row],[CÓDIGO PRODUCTO]],INVENTARIOOFICINA[],3,FALSE),"-")</f>
        <v>-</v>
      </c>
    </row>
    <row r="147" spans="1:5" x14ac:dyDescent="0.2">
      <c r="A147" s="13">
        <v>144</v>
      </c>
      <c r="B147" s="29">
        <v>45918</v>
      </c>
      <c r="C147" s="15"/>
      <c r="D147" s="7" t="str">
        <f>IFERROR(VLOOKUP(SALIDASOF[[#This Row],[CÓDIGO PRODUCTO]],INVENTARIOOFICINA[],2,FALSE),"-")</f>
        <v>-</v>
      </c>
      <c r="E147" s="7" t="str">
        <f>IFERROR(VLOOKUP(SALIDASOF[[#This Row],[CÓDIGO PRODUCTO]],INVENTARIOOFICINA[],3,FALSE),"-")</f>
        <v>-</v>
      </c>
    </row>
    <row r="148" spans="1:5" x14ac:dyDescent="0.2">
      <c r="A148" s="13">
        <v>145</v>
      </c>
      <c r="B148" s="29">
        <v>45918</v>
      </c>
      <c r="C148" s="15"/>
      <c r="D148" s="7" t="str">
        <f>IFERROR(VLOOKUP(SALIDASOF[[#This Row],[CÓDIGO PRODUCTO]],INVENTARIOOFICINA[],2,FALSE),"-")</f>
        <v>-</v>
      </c>
      <c r="E148" s="7" t="str">
        <f>IFERROR(VLOOKUP(SALIDASOF[[#This Row],[CÓDIGO PRODUCTO]],INVENTARIOOFICINA[],3,FALSE),"-")</f>
        <v>-</v>
      </c>
    </row>
    <row r="149" spans="1:5" x14ac:dyDescent="0.2">
      <c r="A149" s="13">
        <v>146</v>
      </c>
      <c r="B149" s="29">
        <v>45918</v>
      </c>
      <c r="C149" s="15"/>
      <c r="D149" s="7" t="str">
        <f>IFERROR(VLOOKUP(SALIDASOF[[#This Row],[CÓDIGO PRODUCTO]],INVENTARIOOFICINA[],2,FALSE),"-")</f>
        <v>-</v>
      </c>
      <c r="E149" s="7" t="str">
        <f>IFERROR(VLOOKUP(SALIDASOF[[#This Row],[CÓDIGO PRODUCTO]],INVENTARIOOFICINA[],3,FALSE),"-")</f>
        <v>-</v>
      </c>
    </row>
    <row r="150" spans="1:5" x14ac:dyDescent="0.2">
      <c r="A150" s="13">
        <v>147</v>
      </c>
      <c r="B150" s="29">
        <v>45918</v>
      </c>
      <c r="C150" s="15"/>
      <c r="D150" s="7" t="str">
        <f>IFERROR(VLOOKUP(SALIDASOF[[#This Row],[CÓDIGO PRODUCTO]],INVENTARIOOFICINA[],2,FALSE),"-")</f>
        <v>-</v>
      </c>
      <c r="E150" s="7" t="str">
        <f>IFERROR(VLOOKUP(SALIDASOF[[#This Row],[CÓDIGO PRODUCTO]],INVENTARIOOFICINA[],3,FALSE),"-")</f>
        <v>-</v>
      </c>
    </row>
    <row r="151" spans="1:5" x14ac:dyDescent="0.2">
      <c r="A151" s="13">
        <v>148</v>
      </c>
      <c r="B151" s="29">
        <v>45918</v>
      </c>
      <c r="C151" s="15"/>
      <c r="D151" s="7" t="str">
        <f>IFERROR(VLOOKUP(SALIDASOF[[#This Row],[CÓDIGO PRODUCTO]],INVENTARIOOFICINA[],2,FALSE),"-")</f>
        <v>-</v>
      </c>
      <c r="E151" s="7" t="str">
        <f>IFERROR(VLOOKUP(SALIDASOF[[#This Row],[CÓDIGO PRODUCTO]],INVENTARIOOFICINA[],3,FALSE),"-")</f>
        <v>-</v>
      </c>
    </row>
    <row r="152" spans="1:5" x14ac:dyDescent="0.2">
      <c r="A152" s="13">
        <v>149</v>
      </c>
      <c r="B152" s="29">
        <v>45918</v>
      </c>
      <c r="C152" s="15"/>
      <c r="D152" s="7" t="str">
        <f>IFERROR(VLOOKUP(SALIDASOF[[#This Row],[CÓDIGO PRODUCTO]],INVENTARIOOFICINA[],2,FALSE),"-")</f>
        <v>-</v>
      </c>
      <c r="E152" s="7" t="str">
        <f>IFERROR(VLOOKUP(SALIDASOF[[#This Row],[CÓDIGO PRODUCTO]],INVENTARIOOFICINA[],3,FALSE),"-")</f>
        <v>-</v>
      </c>
    </row>
    <row r="153" spans="1:5" x14ac:dyDescent="0.2">
      <c r="A153" s="13">
        <v>150</v>
      </c>
      <c r="B153" s="29">
        <v>45918</v>
      </c>
      <c r="C153" s="15"/>
      <c r="D153" s="7" t="str">
        <f>IFERROR(VLOOKUP(SALIDASOF[[#This Row],[CÓDIGO PRODUCTO]],INVENTARIOOFICINA[],2,FALSE),"-")</f>
        <v>-</v>
      </c>
      <c r="E153" s="7" t="str">
        <f>IFERROR(VLOOKUP(SALIDASOF[[#This Row],[CÓDIGO PRODUCTO]],INVENTARIOOFICINA[],3,FALSE),"-")</f>
        <v>-</v>
      </c>
    </row>
    <row r="154" spans="1:5" x14ac:dyDescent="0.2">
      <c r="A154" s="13">
        <v>151</v>
      </c>
      <c r="B154" s="29">
        <v>45918</v>
      </c>
      <c r="C154" s="15"/>
      <c r="D154" s="7" t="str">
        <f>IFERROR(VLOOKUP(SALIDASOF[[#This Row],[CÓDIGO PRODUCTO]],INVENTARIOOFICINA[],2,FALSE),"-")</f>
        <v>-</v>
      </c>
      <c r="E154" s="7" t="str">
        <f>IFERROR(VLOOKUP(SALIDASOF[[#This Row],[CÓDIGO PRODUCTO]],INVENTARIOOFICINA[],3,FALSE),"-")</f>
        <v>-</v>
      </c>
    </row>
    <row r="155" spans="1:5" x14ac:dyDescent="0.2">
      <c r="A155" s="13">
        <v>152</v>
      </c>
      <c r="B155" s="29">
        <v>45918</v>
      </c>
      <c r="C155" s="15"/>
      <c r="D155" s="7" t="str">
        <f>IFERROR(VLOOKUP(SALIDASOF[[#This Row],[CÓDIGO PRODUCTO]],INVENTARIOOFICINA[],2,FALSE),"-")</f>
        <v>-</v>
      </c>
      <c r="E155" s="7" t="str">
        <f>IFERROR(VLOOKUP(SALIDASOF[[#This Row],[CÓDIGO PRODUCTO]],INVENTARIOOFICINA[],3,FALSE),"-")</f>
        <v>-</v>
      </c>
    </row>
    <row r="156" spans="1:5" x14ac:dyDescent="0.2">
      <c r="A156" s="13">
        <v>153</v>
      </c>
      <c r="B156" s="29">
        <v>45918</v>
      </c>
      <c r="C156" s="15"/>
      <c r="D156" s="7" t="str">
        <f>IFERROR(VLOOKUP(SALIDASOF[[#This Row],[CÓDIGO PRODUCTO]],INVENTARIOOFICINA[],2,FALSE),"-")</f>
        <v>-</v>
      </c>
      <c r="E156" s="7" t="str">
        <f>IFERROR(VLOOKUP(SALIDASOF[[#This Row],[CÓDIGO PRODUCTO]],INVENTARIOOFICINA[],3,FALSE),"-")</f>
        <v>-</v>
      </c>
    </row>
    <row r="157" spans="1:5" x14ac:dyDescent="0.2">
      <c r="A157" s="13">
        <v>154</v>
      </c>
      <c r="B157" s="29">
        <v>45918</v>
      </c>
      <c r="C157" s="15"/>
      <c r="D157" s="7" t="str">
        <f>IFERROR(VLOOKUP(SALIDASOF[[#This Row],[CÓDIGO PRODUCTO]],INVENTARIOOFICINA[],2,FALSE),"-")</f>
        <v>-</v>
      </c>
      <c r="E157" s="7" t="str">
        <f>IFERROR(VLOOKUP(SALIDASOF[[#This Row],[CÓDIGO PRODUCTO]],INVENTARIOOFICINA[],3,FALSE),"-")</f>
        <v>-</v>
      </c>
    </row>
    <row r="158" spans="1:5" x14ac:dyDescent="0.2">
      <c r="A158" s="13">
        <v>155</v>
      </c>
      <c r="B158" s="29">
        <v>45918</v>
      </c>
      <c r="C158" s="15"/>
      <c r="D158" s="7" t="str">
        <f>IFERROR(VLOOKUP(SALIDASOF[[#This Row],[CÓDIGO PRODUCTO]],INVENTARIOOFICINA[],2,FALSE),"-")</f>
        <v>-</v>
      </c>
      <c r="E158" s="7" t="str">
        <f>IFERROR(VLOOKUP(SALIDASOF[[#This Row],[CÓDIGO PRODUCTO]],INVENTARIOOFICINA[],3,FALSE),"-")</f>
        <v>-</v>
      </c>
    </row>
    <row r="159" spans="1:5" x14ac:dyDescent="0.2">
      <c r="A159" s="13">
        <v>156</v>
      </c>
      <c r="B159" s="29">
        <v>45918</v>
      </c>
      <c r="C159" s="15"/>
      <c r="D159" s="7" t="str">
        <f>IFERROR(VLOOKUP(SALIDASOF[[#This Row],[CÓDIGO PRODUCTO]],INVENTARIOOFICINA[],2,FALSE),"-")</f>
        <v>-</v>
      </c>
      <c r="E159" s="7" t="str">
        <f>IFERROR(VLOOKUP(SALIDASOF[[#This Row],[CÓDIGO PRODUCTO]],INVENTARIOOFICINA[],3,FALSE),"-")</f>
        <v>-</v>
      </c>
    </row>
    <row r="160" spans="1:5" x14ac:dyDescent="0.2">
      <c r="A160" s="13">
        <v>157</v>
      </c>
      <c r="B160" s="29">
        <v>45918</v>
      </c>
      <c r="C160" s="15"/>
      <c r="D160" s="7" t="str">
        <f>IFERROR(VLOOKUP(SALIDASOF[[#This Row],[CÓDIGO PRODUCTO]],INVENTARIOOFICINA[],2,FALSE),"-")</f>
        <v>-</v>
      </c>
      <c r="E160" s="7" t="str">
        <f>IFERROR(VLOOKUP(SALIDASOF[[#This Row],[CÓDIGO PRODUCTO]],INVENTARIOOFICINA[],3,FALSE),"-")</f>
        <v>-</v>
      </c>
    </row>
  </sheetData>
  <mergeCells count="1">
    <mergeCell ref="A1:F1"/>
  </mergeCells>
  <phoneticPr fontId="6" type="noConversion"/>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2647D75-7FA4-497F-9D88-A1EF2A723271}">
          <x14:formula1>
            <xm:f>INVENTARIOOFICINA!$A$4:$A$160</xm:f>
          </x14:formula1>
          <xm:sqref>C92 C160 C158 C156 C154 C152 C150 C148 C146 C144 C142 C140 C138 C136 C134 C132 C130 C128 C126 C124 C122 C120 C118 C116 C114 C112 C110 C108 C106 C104 C102 C100 C98 C96 C94 C16:C90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 INVENTARIOBODEGA</vt:lpstr>
      <vt:lpstr>ENTRADASBO</vt:lpstr>
      <vt:lpstr>SALIDASBO</vt:lpstr>
      <vt:lpstr>INVENTARIOOFICINA</vt:lpstr>
      <vt:lpstr>ENTRADASOF</vt:lpstr>
      <vt:lpstr>SALIDASOF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guzman ambrosio</dc:creator>
  <cp:lastModifiedBy>maria franco</cp:lastModifiedBy>
  <dcterms:created xsi:type="dcterms:W3CDTF">2025-09-16T22:36:33Z</dcterms:created>
  <dcterms:modified xsi:type="dcterms:W3CDTF">2025-12-01T18:42:54Z</dcterms:modified>
</cp:coreProperties>
</file>